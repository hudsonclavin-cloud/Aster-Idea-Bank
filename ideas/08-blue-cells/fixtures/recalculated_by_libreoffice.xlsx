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Design Calcs" sheetId="3" state="visible" r:id="rId5"/>
    <sheet name="Phase Budgets" sheetId="4" state="visible" r:id="rId6"/>
    <sheet name="Cash Flow &amp; Payba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<sst xmlns="http://schemas.openxmlformats.org/spreadsheetml/2006/main" count="164" uniqueCount="158">
  <si>
    <t xml:space="preserve">SKYHOOK PROGRAM — FINANCIAL MODEL v1 (Rule 4: base case = Conservative only)</t>
  </si>
  <si>
    <t xml:space="preserve">Sheets: Assumptions (blue = change me) · Design Calcs (physics, EQ 1-5) · Phase Budgets · Cash Flow &amp; Payback.</t>
  </si>
  <si>
    <t xml:space="preserve">Color code: BLUE = hardcoded inputs · BLACK = formulas · GREEN = cross-sheet links · YELLOW fill = key assumption needing attention.</t>
  </si>
  <si>
    <t xml:space="preserve">All performance formulas trace to the project instructions: Tsiolkovsky (EQ 1), kinematics (EQ 2-3), taper &amp; Moravec/Forward mass ratio (EQ 4), ED reboost energy (EQ 5).</t>
  </si>
  <si>
    <t xml:space="preserve">Sources: Moravec 1977; Hoyt &amp; Forward HASTOL reports; NASA MXER studies; project instructions Rev A (Parts VI-VII). Anchors, not promises.</t>
  </si>
  <si>
    <t xml:space="preserve">Scenario selector on Cash Flow sheet drives the whole model: Conservative / Baseline / Optimistic.</t>
  </si>
  <si>
    <t xml:space="preserve">LADDER ASSUMPTIONS (Rule 4)</t>
  </si>
  <si>
    <t xml:space="preserve">Parameter</t>
  </si>
  <si>
    <t xml:space="preserve">Conservative</t>
  </si>
  <si>
    <t xml:space="preserve">Baseline</t>
  </si>
  <si>
    <t xml:space="preserve">Optimistic</t>
  </si>
  <si>
    <t xml:space="preserve">Source / note</t>
  </si>
  <si>
    <t xml:space="preserve">Fiber strength retention (1 - derate); joints/weave/aging</t>
  </si>
  <si>
    <t xml:space="preserve">Rev A ladder = rev_a.json derate_fraction 30%/15%/0%; Conservative is Rule 4 base case</t>
  </si>
  <si>
    <t xml:space="preserve">Ascent losses (m/s)</t>
  </si>
  <si>
    <t xml:space="preserve">gravity+drag for suborbital profile</t>
  </si>
  <si>
    <t xml:space="preserve">Launch price during construction ($/kg)</t>
  </si>
  <si>
    <t xml:space="preserve">blended commercial, Part 7.2</t>
  </si>
  <si>
    <t xml:space="preserve">Power chain efficiency (ED reboost)</t>
  </si>
  <si>
    <t xml:space="preserve">array-&gt;PMAD-&gt;thrust, MXER studies</t>
  </si>
  <si>
    <t xml:space="preserve">Electricity cost ($/kWh, amortized array)</t>
  </si>
  <si>
    <t xml:space="preserve">labeled assumption</t>
  </si>
  <si>
    <t xml:space="preserve">Ops + wear + insurance increment ($/kg)</t>
  </si>
  <si>
    <t xml:space="preserve">labeled assumption pending subsystem estimates</t>
  </si>
  <si>
    <t xml:space="preserve">Hardware mass factor (x tether launch cost)</t>
  </si>
  <si>
    <t xml:space="preserve">hub/arrays/tips, Part 7.2</t>
  </si>
  <si>
    <t xml:space="preserve">Boost price to customer ($/kg)</t>
  </si>
  <si>
    <t xml:space="preserve">held flat across scenarios deliberately</t>
  </si>
  <si>
    <t xml:space="preserve">Mature cadence (catches/day)</t>
  </si>
  <si>
    <t xml:space="preserve">Part 7.3</t>
  </si>
  <si>
    <t xml:space="preserve">Payload per catch (kg)</t>
  </si>
  <si>
    <t xml:space="preserve">Phase 3 reference</t>
  </si>
  <si>
    <t xml:space="preserve">Revenue ramp Y1/Y2/Y3 of ops</t>
  </si>
  <si>
    <t xml:space="preserve">fraction of mature in first ops year</t>
  </si>
  <si>
    <t xml:space="preserve">Fixed annual ops cost ($M)</t>
  </si>
  <si>
    <t xml:space="preserve">mission ops, ground, G&amp;A</t>
  </si>
  <si>
    <t xml:space="preserve">Design tip speed (km/s) — fixed at Rev A 2.5 km/s reference</t>
  </si>
  <si>
    <t xml:space="preserve">Rev A reference (rev_a.json); conservatism lever is fiber derate (row 3), not tip speed</t>
  </si>
  <si>
    <t xml:space="preserve">Program + launcher fleet capex ($M)</t>
  </si>
  <si>
    <t xml:space="preserve">Part 7.2: fleet ~$2-3B + program/reserves; conservative adds margin</t>
  </si>
  <si>
    <t xml:space="preserve">SHARED DESIGN POINT (Rev A, 2.5 km/s GTO/high-elliptical reference)</t>
  </si>
  <si>
    <t xml:space="preserve">Value</t>
  </si>
  <si>
    <t xml:space="preserve">CoM altitude (km)</t>
  </si>
  <si>
    <t xml:space="preserve">Zylon baseline, Part 2.3 table</t>
  </si>
  <si>
    <t xml:space="preserve">Half-length L (km)</t>
  </si>
  <si>
    <t xml:space="preserve">Rev A reference tip speed (km/s) — GTO/high-elliptical</t>
  </si>
  <si>
    <t xml:space="preserve">Safety factor on stress</t>
  </si>
  <si>
    <t xml:space="preserve">Fiber tensile strength sigma (GPa)</t>
  </si>
  <si>
    <t xml:space="preserve">Fiber density rho (kg/m3)</t>
  </si>
  <si>
    <t xml:space="preserve">Vehicle exhaust velocity (km/s)</t>
  </si>
  <si>
    <t xml:space="preserve">All-rocket reference dv (km/s)</t>
  </si>
  <si>
    <t xml:space="preserve">Structure fraction of vehicle</t>
  </si>
  <si>
    <t xml:space="preserve">Equatorial rotation help (km/s)</t>
  </si>
  <si>
    <t xml:space="preserve">PHYSICAL CONSTANTS</t>
  </si>
  <si>
    <t xml:space="preserve">mu Earth (km3/s2)</t>
  </si>
  <si>
    <t xml:space="preserve">Earth radius (km)</t>
  </si>
  <si>
    <t xml:space="preserve">DESIGN CALCS — all formulas, per scenario (EQ 1-5)</t>
  </si>
  <si>
    <t xml:space="preserve">Quantity</t>
  </si>
  <si>
    <t xml:space="preserve">Formula trace</t>
  </si>
  <si>
    <t xml:space="preserve">Orbital radius R (km)</t>
  </si>
  <si>
    <t xml:space="preserve">R = R_E + h</t>
  </si>
  <si>
    <t xml:space="preserve">Orbital velocity v_orb (km/s)</t>
  </si>
  <si>
    <t xml:space="preserve">EQ 2</t>
  </si>
  <si>
    <t xml:space="preserve">Spin rate omega (rad/s)</t>
  </si>
  <si>
    <t xml:space="preserve">omega = v_tip/L</t>
  </si>
  <si>
    <t xml:space="preserve">Rotation period (min)</t>
  </si>
  <si>
    <t xml:space="preserve">2pi/omega</t>
  </si>
  <si>
    <t xml:space="preserve">Tip acceleration (g)</t>
  </si>
  <si>
    <t xml:space="preserve">v^2/L</t>
  </si>
  <si>
    <t xml:space="preserve">Derated char. velocity V_c (km/s)</t>
  </si>
  <si>
    <t xml:space="preserve">EQ 4 with ladder derate</t>
  </si>
  <si>
    <t xml:space="preserve">Working ratio x = v_tip/(V_c/sqrt(SF))</t>
  </si>
  <si>
    <t xml:space="preserve">EQ 4</t>
  </si>
  <si>
    <t xml:space="preserve">Taper ratio</t>
  </si>
  <si>
    <t xml:space="preserve">exp(x^2)</t>
  </si>
  <si>
    <t xml:space="preserve">Tether/payload mass ratio (single arm)</t>
  </si>
  <si>
    <t xml:space="preserve">Moravec/Forward</t>
  </si>
  <si>
    <t xml:space="preserve">Total tether mass, 2 arms (t)</t>
  </si>
  <si>
    <t xml:space="preserve">x payload per catch</t>
  </si>
  <si>
    <t xml:space="preserve">Catch speed ground-rel (km/s)</t>
  </si>
  <si>
    <t xml:space="preserve">EQ 3 + Earth help</t>
  </si>
  <si>
    <t xml:space="preserve">Vehicle dv incl losses (km/s)</t>
  </si>
  <si>
    <t xml:space="preserve">ladder losses</t>
  </si>
  <si>
    <t xml:space="preserve">dv saved vs all-rocket (km/s)</t>
  </si>
  <si>
    <t xml:space="preserve">Payload fraction w/ skyhook</t>
  </si>
  <si>
    <t xml:space="preserve">EQ 1 - structure</t>
  </si>
  <si>
    <t xml:space="preserve">Payload fraction all-rocket</t>
  </si>
  <si>
    <t xml:space="preserve">EQ 1</t>
  </si>
  <si>
    <t xml:space="preserve">Payload multiplier (x)</t>
  </si>
  <si>
    <t xml:space="preserve">System capex: launch+hardware ($M)</t>
  </si>
  <si>
    <t xml:space="preserve">tether t x $/kg x hw factor</t>
  </si>
  <si>
    <t xml:space="preserve">Reboost energy per kg (MJ)</t>
  </si>
  <si>
    <t xml:space="preserve">EQ 5 momentum view: 2 v_orb v_tip</t>
  </si>
  <si>
    <t xml:space="preserve">Electricity per boosted kg ($)</t>
  </si>
  <si>
    <t xml:space="preserve">MJ/eff -&gt; kWh x $/kWh</t>
  </si>
  <si>
    <t xml:space="preserve">Marginal cost ($/kg)</t>
  </si>
  <si>
    <t xml:space="preserve">+ ops/wear</t>
  </si>
  <si>
    <t xml:space="preserve">Annual upmass (t/yr)</t>
  </si>
  <si>
    <t xml:space="preserve">cadence x payload</t>
  </si>
  <si>
    <t xml:space="preserve">Annual revenue at maturity ($M)</t>
  </si>
  <si>
    <t xml:space="preserve">Annual marginal cost ($M)</t>
  </si>
  <si>
    <t xml:space="preserve">ERF AUDIT — Abramowitz &amp; Stegun 7.1.26 rational approximation, cross-check only</t>
  </si>
  <si>
    <t xml:space="preserve">Mass ratio (row 11) uses Excel's native ERF(); this block validates it independently</t>
  </si>
  <si>
    <t xml:space="preserve">t = 1/(1+p*x), p=0.3275911</t>
  </si>
  <si>
    <t xml:space="preserve">A&amp;S 7.1.26 substitution</t>
  </si>
  <si>
    <t xml:space="preserve">erf(x) approx (A&amp;S 7.1.26 polynomial)</t>
  </si>
  <si>
    <t xml:space="preserve">max abs error 1.5e-7 per A&amp;S</t>
  </si>
  <si>
    <t xml:space="preserve">erf(x) native (Excel ERF)</t>
  </si>
  <si>
    <t xml:space="preserve">cross-check reference</t>
  </si>
  <si>
    <t xml:space="preserve">Approximation error (abs)</t>
  </si>
  <si>
    <t xml:space="preserve">should be &lt; 2e-7</t>
  </si>
  <si>
    <t xml:space="preserve">PHASE BUDGETS (Part VI) — $M</t>
  </si>
  <si>
    <t xml:space="preserve">Phase</t>
  </si>
  <si>
    <t xml:space="preserve">Low ($M)</t>
  </si>
  <si>
    <t xml:space="preserve">High ($M)</t>
  </si>
  <si>
    <t xml:space="preserve">Exit criteria / notes</t>
  </si>
  <si>
    <t xml:space="preserve">Phase 0 — Foundations (Y0-2)</t>
  </si>
  <si>
    <t xml:space="preserve">Digital twin validated; joint statistics; capture demo; regulatory groundwork</t>
  </si>
  <si>
    <t xml:space="preserve">Phase 1 — Orbital demos (Y2-5)</t>
  </si>
  <si>
    <t xml:space="preserve">Repeated catch/throw on orbit; first deorbit revenue; ledger closed by ED</t>
  </si>
  <si>
    <t xml:space="preserve">Phase 2 — Lariat (Y5-10)</t>
  </si>
  <si>
    <t xml:space="preserve">Positive operating cash flow; &gt;100 commercial exchanges; insurance record</t>
  </si>
  <si>
    <t xml:space="preserve">Phase 3 — Mainline (Y10-18)</t>
  </si>
  <si>
    <t xml:space="preserve">&lt;$300/kg marginal; daily cadence; largely internally financed</t>
  </si>
  <si>
    <t xml:space="preserve">Cumulative program (low/high)</t>
  </si>
  <si>
    <t xml:space="preserve">CASH FLOW &amp; PAYBACK — Rev A reference (scenario-driven)</t>
  </si>
  <si>
    <t xml:space="preserve">Scenario selector (type exactly):</t>
  </si>
  <si>
    <t xml:space="preserve">Conservative / Baseline / Optimistic</t>
  </si>
  <si>
    <t xml:space="preserve">Scenario column index</t>
  </si>
  <si>
    <t xml:space="preserve">Total capex: system + program/fleet ($M)</t>
  </si>
  <si>
    <t xml:space="preserve">Mature revenue ($M/yr)</t>
  </si>
  <si>
    <t xml:space="preserve">Mature marginal cost ($M/yr)</t>
  </si>
  <si>
    <t xml:space="preserve">Fixed ops ($M/yr)</t>
  </si>
  <si>
    <t xml:space="preserve">Ramp Y1 of ops</t>
  </si>
  <si>
    <t xml:space="preserve">Year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</si>
  <si>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</si>
  <si>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</si>
  <si>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</si>
  <si>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</si>
  <si>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</si>
  <si>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</si>
  <si>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</si>
  <si>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</si>
  <si>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</si>
  <si>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</si>
  <si>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</si>
  <si>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</si>
  <si>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</si>
  <si>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</si>
  <si>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</si>
  <si>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Capex spend ($M)</t>
  </si>
  <si>
    <t xml:space="preserve">Revenue ($M)</t>
  </si>
  <si>
    <t xml:space="preserve">Opex ($M)</t>
  </si>
  <si>
    <t xml:space="preserve">Net cash flow ($M)</t>
  </si>
  <si>
    <t xml:space="preserve">Cumulative ($M)</t>
  </si>
  <si>
    <t xml:space="preserve">Payback year (cumulative &gt; 0)</t>
  </si>
  <si>
    <t xml:space="preserve">Note: capex spread Y1-Y4 (15/30/35/20%); ops begin Y5 with revenue ramp. Includes program + launcher fleet via Assumptions row 16. Excludes Phases 0-2 (separately financed and revenue-bearing) — see Phase Budgets. Conservative scenario also spins slower (row 15), per Rule 2.3.</t>
  </si>
  <si>
    <t xml:space="preserve">Static snapshot (Conservative scenario) — see finance/skyhook_finance.py for the live scenario-driven model.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</si>
</sst>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4B"/>
      <name val="Cambria"/>
      <family val="0"/>
      <charset val="1"/>
    </font>
    <font>
      <b val="true"/>
      <sz val="11"/>
      <color rgb="FF1329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30"/>
  </cols>
  <sheetData>
    <row r="1" customFormat="false" ht="15" hidden="false" customHeight="true" outlineLevel="0" collapsed="false">
      <c r="A1" s="3" t="s">
        <v>6</v>
      </c>
    </row>
    <row r="2" customFormat="false" ht="1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</row>
    <row r="3" customFormat="false" ht="15" hidden="false" customHeight="true" outlineLevel="0" collapsed="false">
      <c r="A3" s="1" t="s">
        <v>12</v>
      </c>
      <c r="B3" s="5" t="n">
        <v>0.7</v>
      </c>
      <c r="C3" s="5" t="n">
        <v>0.85</v>
      </c>
      <c r="D3" s="5" t="n">
        <v>1</v>
      </c>
      <c r="E3" s="6" t="s">
        <v>13</v>
      </c>
    </row>
    <row r="4" customFormat="false" ht="15" hidden="false" customHeight="true" outlineLevel="0" collapsed="false">
      <c r="A4" s="1" t="s">
        <v>14</v>
      </c>
      <c r="B4" s="5" t="n">
        <v>1800</v>
      </c>
      <c r="C4" s="5" t="n">
        <v>1500</v>
      </c>
      <c r="D4" s="5" t="n">
        <v>1200</v>
      </c>
      <c r="E4" s="6" t="s">
        <v>15</v>
      </c>
    </row>
    <row r="5" customFormat="false" ht="15" hidden="false" customHeight="true" outlineLevel="0" collapsed="false">
      <c r="A5" s="1" t="s">
        <v>16</v>
      </c>
      <c r="B5" s="5" t="n">
        <v>2500</v>
      </c>
      <c r="C5" s="5" t="n">
        <v>1500</v>
      </c>
      <c r="D5" s="5" t="n">
        <v>800</v>
      </c>
      <c r="E5" s="6" t="s">
        <v>17</v>
      </c>
    </row>
    <row r="6" customFormat="false" ht="15" hidden="false" customHeight="true" outlineLevel="0" collapsed="false">
      <c r="A6" s="1" t="s">
        <v>18</v>
      </c>
      <c r="B6" s="5" t="n">
        <v>0.15</v>
      </c>
      <c r="C6" s="5" t="n">
        <v>0.2</v>
      </c>
      <c r="D6" s="5" t="n">
        <v>0.3</v>
      </c>
      <c r="E6" s="6" t="s">
        <v>19</v>
      </c>
    </row>
    <row r="7" customFormat="false" ht="15" hidden="false" customHeight="true" outlineLevel="0" collapsed="false">
      <c r="A7" s="1" t="s">
        <v>20</v>
      </c>
      <c r="B7" s="5" t="n">
        <v>0.08</v>
      </c>
      <c r="C7" s="5" t="n">
        <v>0.06</v>
      </c>
      <c r="D7" s="5" t="n">
        <v>0.04</v>
      </c>
      <c r="E7" s="6" t="s">
        <v>21</v>
      </c>
    </row>
    <row r="8" customFormat="false" ht="15" hidden="false" customHeight="true" outlineLevel="0" collapsed="false">
      <c r="A8" s="1" t="s">
        <v>22</v>
      </c>
      <c r="B8" s="7" t="n">
        <v>12</v>
      </c>
      <c r="C8" s="7" t="n">
        <v>8</v>
      </c>
      <c r="D8" s="7" t="n">
        <v>5</v>
      </c>
      <c r="E8" s="6" t="s">
        <v>23</v>
      </c>
    </row>
    <row r="9" customFormat="false" ht="15" hidden="false" customHeight="true" outlineLevel="0" collapsed="false">
      <c r="A9" s="1" t="s">
        <v>24</v>
      </c>
      <c r="B9" s="5" t="n">
        <v>1.8</v>
      </c>
      <c r="C9" s="5" t="n">
        <v>1.6</v>
      </c>
      <c r="D9" s="5" t="n">
        <v>1.4</v>
      </c>
      <c r="E9" s="6" t="s">
        <v>25</v>
      </c>
    </row>
    <row r="10" customFormat="false" ht="15" hidden="false" customHeight="true" outlineLevel="0" collapsed="false">
      <c r="A10" s="1" t="s">
        <v>26</v>
      </c>
      <c r="B10" s="5" t="n">
        <v>500</v>
      </c>
      <c r="C10" s="5" t="n">
        <v>500</v>
      </c>
      <c r="D10" s="5" t="n">
        <v>500</v>
      </c>
      <c r="E10" s="6" t="s">
        <v>27</v>
      </c>
    </row>
    <row r="11" customFormat="false" ht="15" hidden="false" customHeight="true" outlineLevel="0" collapsed="false">
      <c r="A11" s="1" t="s">
        <v>28</v>
      </c>
      <c r="B11" s="5" t="n">
        <v>1</v>
      </c>
      <c r="C11" s="5" t="n">
        <v>2</v>
      </c>
      <c r="D11" s="5" t="n">
        <v>3</v>
      </c>
      <c r="E11" s="6" t="s">
        <v>29</v>
      </c>
    </row>
    <row r="12" customFormat="false" ht="15" hidden="false" customHeight="true" outlineLevel="0" collapsed="false">
      <c r="A12" s="1" t="s">
        <v>30</v>
      </c>
      <c r="B12" s="5" t="n">
        <v>5000</v>
      </c>
      <c r="C12" s="5" t="n">
        <v>5000</v>
      </c>
      <c r="D12" s="5" t="n">
        <v>5000</v>
      </c>
      <c r="E12" s="6" t="s">
        <v>31</v>
      </c>
    </row>
    <row r="13" customFormat="false" ht="15" hidden="false" customHeight="true" outlineLevel="0" collapsed="false">
      <c r="A13" s="1" t="s">
        <v>32</v>
      </c>
      <c r="B13" s="5" t="n">
        <v>0.3</v>
      </c>
      <c r="C13" s="5" t="n">
        <v>0.4</v>
      </c>
      <c r="D13" s="5" t="n">
        <v>0.5</v>
      </c>
      <c r="E13" s="6" t="s">
        <v>33</v>
      </c>
    </row>
    <row r="14" customFormat="false" ht="15" hidden="false" customHeight="true" outlineLevel="0" collapsed="false">
      <c r="A14" s="1" t="s">
        <v>34</v>
      </c>
      <c r="B14" s="5" t="n">
        <v>80</v>
      </c>
      <c r="C14" s="5" t="n">
        <v>60</v>
      </c>
      <c r="D14" s="5" t="n">
        <v>45</v>
      </c>
      <c r="E14" s="6" t="s">
        <v>35</v>
      </c>
    </row>
    <row r="15" customFormat="false" ht="15" hidden="false" customHeight="true" outlineLevel="0" collapsed="false">
      <c r="A15" s="1" t="s">
        <v>36</v>
      </c>
      <c r="B15" s="5" t="n">
        <v>2.5</v>
      </c>
      <c r="C15" s="5" t="n">
        <v>2.5</v>
      </c>
      <c r="D15" s="5" t="n">
        <v>2.5</v>
      </c>
      <c r="E15" s="6" t="s">
        <v>37</v>
      </c>
    </row>
    <row r="16" customFormat="false" ht="15" hidden="false" customHeight="true" outlineLevel="0" collapsed="false">
      <c r="A16" s="1" t="s">
        <v>38</v>
      </c>
      <c r="B16" s="5" t="n">
        <v>6000</v>
      </c>
      <c r="C16" s="5" t="n">
        <v>5000</v>
      </c>
      <c r="D16" s="5" t="n">
        <v>4000</v>
      </c>
      <c r="E16" s="6" t="s">
        <v>39</v>
      </c>
    </row>
    <row r="17" customFormat="false" ht="15" hidden="false" customHeight="true" outlineLevel="0" collapsed="false">
      <c r="A17" s="3" t="s">
        <v>40</v>
      </c>
    </row>
    <row r="18" customFormat="false" ht="15" hidden="false" customHeight="true" outlineLevel="0" collapsed="false">
      <c r="A18" s="4" t="s">
        <v>7</v>
      </c>
      <c r="B18" s="4" t="s">
        <v>41</v>
      </c>
      <c r="E18" s="4" t="s">
        <v>11</v>
      </c>
    </row>
    <row r="19" customFormat="false" ht="15" hidden="false" customHeight="true" outlineLevel="0" collapsed="false">
      <c r="A19" s="1" t="s">
        <v>42</v>
      </c>
      <c r="B19" s="5" t="n">
        <v>610</v>
      </c>
      <c r="E19" s="6" t="s">
        <v>43</v>
      </c>
    </row>
    <row r="20" customFormat="false" ht="15" hidden="false" customHeight="true" outlineLevel="0" collapsed="false">
      <c r="A20" s="1" t="s">
        <v>44</v>
      </c>
      <c r="B20" s="5" t="n">
        <v>320</v>
      </c>
    </row>
    <row r="21" customFormat="false" ht="15" hidden="false" customHeight="true" outlineLevel="0" collapsed="false">
      <c r="A21" s="1" t="s">
        <v>45</v>
      </c>
      <c r="B21" s="5" t="n">
        <v>2.5</v>
      </c>
    </row>
    <row r="22" customFormat="false" ht="15" hidden="false" customHeight="true" outlineLevel="0" collapsed="false">
      <c r="A22" s="1" t="s">
        <v>46</v>
      </c>
      <c r="B22" s="5" t="n">
        <v>2.5</v>
      </c>
    </row>
    <row r="23" customFormat="false" ht="15" hidden="false" customHeight="true" outlineLevel="0" collapsed="false">
      <c r="A23" s="1" t="s">
        <v>47</v>
      </c>
      <c r="B23" s="5" t="n">
        <v>5.8</v>
      </c>
    </row>
    <row r="24" customFormat="false" ht="15" hidden="false" customHeight="true" outlineLevel="0" collapsed="false">
      <c r="A24" s="1" t="s">
        <v>48</v>
      </c>
      <c r="B24" s="5" t="n">
        <v>1560</v>
      </c>
    </row>
    <row r="25" customFormat="false" ht="15" hidden="false" customHeight="true" outlineLevel="0" collapsed="false">
      <c r="A25" s="1" t="s">
        <v>49</v>
      </c>
      <c r="B25" s="5" t="n">
        <v>3.4</v>
      </c>
    </row>
    <row r="26" customFormat="false" ht="15" hidden="false" customHeight="true" outlineLevel="0" collapsed="false">
      <c r="A26" s="1" t="s">
        <v>50</v>
      </c>
      <c r="B26" s="5" t="n">
        <v>9.4</v>
      </c>
    </row>
    <row r="27" customFormat="false" ht="15" hidden="false" customHeight="true" outlineLevel="0" collapsed="false">
      <c r="A27" s="1" t="s">
        <v>51</v>
      </c>
      <c r="B27" s="5" t="n">
        <v>0.04</v>
      </c>
    </row>
    <row r="28" customFormat="false" ht="15" hidden="false" customHeight="true" outlineLevel="0" collapsed="false">
      <c r="A28" s="1" t="s">
        <v>52</v>
      </c>
      <c r="B28" s="5" t="n">
        <v>0.465</v>
      </c>
    </row>
    <row r="31" customFormat="false" ht="15" hidden="false" customHeight="true" outlineLevel="0" collapsed="false">
      <c r="A31" s="3" t="s">
        <v>53</v>
      </c>
    </row>
    <row r="32" customFormat="false" ht="15" hidden="false" customHeight="true" outlineLevel="0" collapsed="false">
      <c r="A32" s="1" t="s">
        <v>54</v>
      </c>
      <c r="B32" s="5" t="n">
        <v>398600</v>
      </c>
    </row>
    <row r="33" customFormat="false" ht="15" hidden="false" customHeight="true" outlineLevel="0" collapsed="false">
      <c r="A33" s="1" t="s">
        <v>55</v>
      </c>
      <c r="B33" s="5" t="n">
        <v>6371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34"/>
  </cols>
  <sheetData>
    <row r="1" customFormat="false" ht="15" hidden="false" customHeight="true" outlineLevel="0" collapsed="false">
      <c r="A1" s="3" t="s">
        <v>56</v>
      </c>
    </row>
    <row r="2" customFormat="false" ht="15" hidden="false" customHeight="true" outlineLevel="0" collapsed="false">
      <c r="A2" s="4" t="s">
        <v>57</v>
      </c>
      <c r="B2" s="4" t="s">
        <v>8</v>
      </c>
      <c r="C2" s="4" t="s">
        <v>9</v>
      </c>
      <c r="D2" s="4" t="s">
        <v>10</v>
      </c>
      <c r="E2" s="4" t="s">
        <v>58</v>
      </c>
    </row>
    <row r="3" customFormat="false" ht="15" hidden="false" customHeight="true" outlineLevel="0" collapsed="false">
      <c r="A3" s="1" t="s">
        <v>59</v>
      </c>
      <c r="B3" s="8" t="n">
        <f aca="false">Assumptions!$B$33+Assumptions!$B$19</f>
        <v>6981</v>
      </c>
      <c r="C3" s="8" t="n">
        <f aca="false">Assumptions!$B$33+Assumptions!$B$19</f>
        <v>6981</v>
      </c>
      <c r="D3" s="8" t="n">
        <f aca="false">Assumptions!$B$33+Assumptions!$B$19</f>
        <v>6981</v>
      </c>
      <c r="E3" s="6" t="s">
        <v>60</v>
      </c>
    </row>
    <row r="4" customFormat="false" ht="15" hidden="false" customHeight="true" outlineLevel="0" collapsed="false">
      <c r="A4" s="1" t="s">
        <v>61</v>
      </c>
      <c r="B4" s="8" t="n">
        <f aca="false">SQRT(Assumptions!$B$32/B3)</f>
        <v>7.55631106996696</v>
      </c>
      <c r="C4" s="8" t="n">
        <f aca="false">SQRT(Assumptions!$B$32/C3)</f>
        <v>7.55631106996696</v>
      </c>
      <c r="D4" s="8" t="n">
        <f aca="false">SQRT(Assumptions!$B$32/D3)</f>
        <v>7.55631106996696</v>
      </c>
      <c r="E4" s="6" t="s">
        <v>62</v>
      </c>
    </row>
    <row r="5" customFormat="false" ht="15" hidden="false" customHeight="true" outlineLevel="0" collapsed="false">
      <c r="A5" s="1" t="s">
        <v>63</v>
      </c>
      <c r="B5" s="8" t="n">
        <f aca="false">Assumptions!B15/Assumptions!$B$20</f>
        <v>0.0078125</v>
      </c>
      <c r="C5" s="8" t="n">
        <f aca="false">Assumptions!C15/Assumptions!$B$20</f>
        <v>0.0078125</v>
      </c>
      <c r="D5" s="8" t="n">
        <f aca="false">Assumptions!D15/Assumptions!$B$20</f>
        <v>0.0078125</v>
      </c>
      <c r="E5" s="6" t="s">
        <v>64</v>
      </c>
    </row>
    <row r="6" customFormat="false" ht="15" hidden="false" customHeight="true" outlineLevel="0" collapsed="false">
      <c r="A6" s="1" t="s">
        <v>65</v>
      </c>
      <c r="B6" s="8" t="n">
        <f aca="false">2*PI()/B5/60</f>
        <v>13.4041286553165</v>
      </c>
      <c r="C6" s="8" t="n">
        <f aca="false">2*PI()/C5/60</f>
        <v>13.4041286553165</v>
      </c>
      <c r="D6" s="8" t="n">
        <f aca="false">2*PI()/D5/60</f>
        <v>13.4041286553165</v>
      </c>
      <c r="E6" s="6" t="s">
        <v>66</v>
      </c>
    </row>
    <row r="7" customFormat="false" ht="15" hidden="false" customHeight="true" outlineLevel="0" collapsed="false">
      <c r="A7" s="1" t="s">
        <v>67</v>
      </c>
      <c r="B7" s="8" t="n">
        <f aca="false">Assumptions!B15^2*1000/Assumptions!$B$20/9.81</f>
        <v>1.99095310907238</v>
      </c>
      <c r="C7" s="8" t="n">
        <f aca="false">Assumptions!C15^2*1000/Assumptions!$B$20/9.81</f>
        <v>1.99095310907238</v>
      </c>
      <c r="D7" s="8" t="n">
        <f aca="false">Assumptions!D15^2*1000/Assumptions!$B$20/9.81</f>
        <v>1.99095310907238</v>
      </c>
      <c r="E7" s="6" t="s">
        <v>68</v>
      </c>
    </row>
    <row r="8" customFormat="false" ht="15" hidden="false" customHeight="true" outlineLevel="0" collapsed="false">
      <c r="A8" s="1" t="s">
        <v>69</v>
      </c>
      <c r="B8" s="8" t="n">
        <f aca="false">SQRT(2*Assumptions!$B$23*1000000000*Assumptions!B3/Assumptions!$B$24)/1000</f>
        <v>2.28147500646582</v>
      </c>
      <c r="C8" s="8" t="n">
        <f aca="false">SQRT(2*Assumptions!$B$23*1000000000*Assumptions!C3/Assumptions!$B$24)/1000</f>
        <v>2.51406301044998</v>
      </c>
      <c r="D8" s="8" t="n">
        <f aca="false">SQRT(2*Assumptions!$B$23*1000000000*Assumptions!D3/Assumptions!$B$24)/1000</f>
        <v>2.72688419920932</v>
      </c>
      <c r="E8" s="6" t="s">
        <v>70</v>
      </c>
    </row>
    <row r="9" customFormat="false" ht="15" hidden="false" customHeight="true" outlineLevel="0" collapsed="false">
      <c r="A9" s="1" t="s">
        <v>71</v>
      </c>
      <c r="B9" s="8" t="n">
        <f aca="false">Assumptions!B15/(B8/SQRT(Assumptions!$B$22))</f>
        <v>1.73258399237682</v>
      </c>
      <c r="C9" s="8" t="n">
        <f aca="false">Assumptions!C15/(C8/SQRT(Assumptions!$B$22))</f>
        <v>1.57229435331574</v>
      </c>
      <c r="D9" s="8" t="n">
        <f aca="false">Assumptions!D15/(D8/SQRT(Assumptions!$B$22))</f>
        <v>1.4495837690345</v>
      </c>
      <c r="E9" s="6" t="s">
        <v>72</v>
      </c>
    </row>
    <row r="10" customFormat="false" ht="15" hidden="false" customHeight="true" outlineLevel="0" collapsed="false">
      <c r="A10" s="1" t="s">
        <v>73</v>
      </c>
      <c r="B10" s="8" t="n">
        <f aca="false">EXP(B9^2)</f>
        <v>20.1226750394394</v>
      </c>
      <c r="C10" s="8" t="n">
        <f aca="false">EXP(C9^2)</f>
        <v>11.8474130231888</v>
      </c>
      <c r="D10" s="8" t="n">
        <f aca="false">EXP(D9^2)</f>
        <v>8.17673644537844</v>
      </c>
      <c r="E10" s="6" t="s">
        <v>74</v>
      </c>
    </row>
    <row r="11" customFormat="false" ht="15" hidden="false" customHeight="true" outlineLevel="0" collapsed="false">
      <c r="A11" s="1" t="s">
        <v>75</v>
      </c>
      <c r="B11" s="8" t="n">
        <f aca="false">SQRT(PI())*B9*EXP(B9^2)*ERF(B9)</f>
        <v>60.9130434973662</v>
      </c>
      <c r="C11" s="8" t="n">
        <f aca="false">SQRT(PI())*C9*EXP(C9^2)*ERF(C9)</f>
        <v>32.1522873021525</v>
      </c>
      <c r="D11" s="8" t="n">
        <f aca="false">SQRT(PI())*D9*EXP(D9^2)*ERF(D9)</f>
        <v>20.1606959067452</v>
      </c>
      <c r="E11" s="6" t="s">
        <v>76</v>
      </c>
    </row>
    <row r="12" customFormat="false" ht="15" hidden="false" customHeight="true" outlineLevel="0" collapsed="false">
      <c r="A12" s="1" t="s">
        <v>77</v>
      </c>
      <c r="B12" s="8" t="n">
        <f aca="false">2*B11*Assumptions!B12/1000</f>
        <v>609.130434973662</v>
      </c>
      <c r="C12" s="8" t="n">
        <f aca="false">2*C11*Assumptions!C12/1000</f>
        <v>321.522873021525</v>
      </c>
      <c r="D12" s="8" t="n">
        <f aca="false">2*D11*Assumptions!D12/1000</f>
        <v>201.606959067452</v>
      </c>
      <c r="E12" s="6" t="s">
        <v>78</v>
      </c>
    </row>
    <row r="13" customFormat="false" ht="15" hidden="false" customHeight="true" outlineLevel="0" collapsed="false">
      <c r="A13" s="1" t="s">
        <v>79</v>
      </c>
      <c r="B13" s="8" t="n">
        <f aca="false">B4-Assumptions!B15-Assumptions!$B$28</f>
        <v>4.59131106996696</v>
      </c>
      <c r="C13" s="8" t="n">
        <f aca="false">C4-Assumptions!C15-Assumptions!$B$28</f>
        <v>4.59131106996696</v>
      </c>
      <c r="D13" s="8" t="n">
        <f aca="false">D4-Assumptions!D15-Assumptions!$B$28</f>
        <v>4.59131106996696</v>
      </c>
      <c r="E13" s="6" t="s">
        <v>80</v>
      </c>
    </row>
    <row r="14" customFormat="false" ht="15" hidden="false" customHeight="true" outlineLevel="0" collapsed="false">
      <c r="A14" s="1" t="s">
        <v>81</v>
      </c>
      <c r="B14" s="8" t="n">
        <f aca="false">B13+Assumptions!B4/1000</f>
        <v>6.39131106996696</v>
      </c>
      <c r="C14" s="8" t="n">
        <f aca="false">C13+Assumptions!C4/1000</f>
        <v>6.09131106996696</v>
      </c>
      <c r="D14" s="8" t="n">
        <f aca="false">D13+Assumptions!D4/1000</f>
        <v>5.79131106996696</v>
      </c>
      <c r="E14" s="6" t="s">
        <v>82</v>
      </c>
    </row>
    <row r="15" customFormat="false" ht="15" hidden="false" customHeight="true" outlineLevel="0" collapsed="false">
      <c r="A15" s="1" t="s">
        <v>83</v>
      </c>
      <c r="B15" s="8" t="n">
        <f aca="false">Assumptions!$B$26-B14</f>
        <v>3.00868893003305</v>
      </c>
      <c r="C15" s="8" t="n">
        <f aca="false">Assumptions!$B$26-C14</f>
        <v>3.30868893003305</v>
      </c>
      <c r="D15" s="8" t="n">
        <f aca="false">Assumptions!$B$26-D14</f>
        <v>3.60868893003305</v>
      </c>
      <c r="E15" s="6"/>
    </row>
    <row r="16" customFormat="false" ht="15" hidden="false" customHeight="true" outlineLevel="0" collapsed="false">
      <c r="A16" s="1" t="s">
        <v>84</v>
      </c>
      <c r="B16" s="8" t="n">
        <f aca="false">MAX(0,EXP(-B14/Assumptions!$B$25)-Assumptions!$B$27)</f>
        <v>0.112621027685638</v>
      </c>
      <c r="C16" s="8" t="n">
        <f aca="false">MAX(0,EXP(-C14/Assumptions!$B$25)-Assumptions!$B$27)</f>
        <v>0.12669956821811</v>
      </c>
      <c r="D16" s="8" t="n">
        <f aca="false">MAX(0,EXP(-D14/Assumptions!$B$25)-Assumptions!$B$27)</f>
        <v>0.142076784998083</v>
      </c>
      <c r="E16" s="6" t="s">
        <v>85</v>
      </c>
    </row>
    <row r="17" customFormat="false" ht="15" hidden="false" customHeight="true" outlineLevel="0" collapsed="false">
      <c r="A17" s="1" t="s">
        <v>86</v>
      </c>
      <c r="B17" s="8" t="n">
        <f aca="false">MAX(0,EXP(-Assumptions!$B$26/Assumptions!$B$25)-Assumptions!$B$27)</f>
        <v>0.022994624454323</v>
      </c>
      <c r="C17" s="8" t="n">
        <f aca="false">MAX(0,EXP(-Assumptions!$B$26/Assumptions!$B$25)-Assumptions!$B$27)</f>
        <v>0.022994624454323</v>
      </c>
      <c r="D17" s="8" t="n">
        <f aca="false">MAX(0,EXP(-Assumptions!$B$26/Assumptions!$B$25)-Assumptions!$B$27)</f>
        <v>0.022994624454323</v>
      </c>
      <c r="E17" s="6" t="s">
        <v>87</v>
      </c>
    </row>
    <row r="18" customFormat="false" ht="15" hidden="false" customHeight="true" outlineLevel="0" collapsed="false">
      <c r="A18" s="1" t="s">
        <v>88</v>
      </c>
      <c r="B18" s="8" t="n">
        <f aca="false">IF(B17&gt;0,B16/B17,"inf")</f>
        <v>4.89771111110558</v>
      </c>
      <c r="C18" s="8" t="n">
        <f aca="false">IF(C17&gt;0,C16/C17,"inf")</f>
        <v>5.5099646645584</v>
      </c>
      <c r="D18" s="8" t="n">
        <f aca="false">IF(D17&gt;0,D16/D17,"inf")</f>
        <v>6.1786956025443</v>
      </c>
      <c r="E18" s="6"/>
    </row>
    <row r="19" customFormat="false" ht="15" hidden="false" customHeight="true" outlineLevel="0" collapsed="false">
      <c r="A19" s="1" t="s">
        <v>89</v>
      </c>
      <c r="B19" s="8" t="n">
        <f aca="false">B12*1000*Assumptions!B5*Assumptions!B9/1000000</f>
        <v>2741.08695738148</v>
      </c>
      <c r="C19" s="8" t="n">
        <f aca="false">C12*1000*Assumptions!C5*Assumptions!C9/1000000</f>
        <v>771.65489525166</v>
      </c>
      <c r="D19" s="8" t="n">
        <f aca="false">D12*1000*Assumptions!D5*Assumptions!D9/1000000</f>
        <v>225.799794155547</v>
      </c>
      <c r="E19" s="6" t="s">
        <v>90</v>
      </c>
    </row>
    <row r="20" customFormat="false" ht="15" hidden="false" customHeight="true" outlineLevel="0" collapsed="false">
      <c r="A20" s="1" t="s">
        <v>91</v>
      </c>
      <c r="B20" s="8" t="n">
        <f aca="false">2*B4*Assumptions!B15</f>
        <v>37.7815553498348</v>
      </c>
      <c r="C20" s="8" t="n">
        <f aca="false">2*C4*Assumptions!C15</f>
        <v>37.7815553498348</v>
      </c>
      <c r="D20" s="8" t="n">
        <f aca="false">2*D4*Assumptions!D15</f>
        <v>37.7815553498348</v>
      </c>
      <c r="E20" s="6" t="s">
        <v>92</v>
      </c>
    </row>
    <row r="21" customFormat="false" ht="15" hidden="false" customHeight="true" outlineLevel="0" collapsed="false">
      <c r="A21" s="1" t="s">
        <v>93</v>
      </c>
      <c r="B21" s="8" t="n">
        <f aca="false">B20/Assumptions!B6/3.6*Assumptions!B7</f>
        <v>5.59726745923478</v>
      </c>
      <c r="C21" s="8" t="n">
        <f aca="false">C20/Assumptions!C6/3.6*Assumptions!C7</f>
        <v>3.14846294581956</v>
      </c>
      <c r="D21" s="8" t="n">
        <f aca="false">D20/Assumptions!D6/3.6*Assumptions!D7</f>
        <v>1.3993168648087</v>
      </c>
      <c r="E21" s="6" t="s">
        <v>94</v>
      </c>
    </row>
    <row r="22" customFormat="false" ht="15" hidden="false" customHeight="true" outlineLevel="0" collapsed="false">
      <c r="A22" s="1" t="s">
        <v>95</v>
      </c>
      <c r="B22" s="8" t="n">
        <f aca="false">B21+Assumptions!B8</f>
        <v>17.5972674592348</v>
      </c>
      <c r="C22" s="8" t="n">
        <f aca="false">C21+Assumptions!C8</f>
        <v>11.1484629458196</v>
      </c>
      <c r="D22" s="8" t="n">
        <f aca="false">D21+Assumptions!D8</f>
        <v>6.3993168648087</v>
      </c>
      <c r="E22" s="6" t="s">
        <v>96</v>
      </c>
    </row>
    <row r="23" customFormat="false" ht="15" hidden="false" customHeight="true" outlineLevel="0" collapsed="false">
      <c r="A23" s="1" t="s">
        <v>97</v>
      </c>
      <c r="B23" s="8" t="n">
        <f aca="false">Assumptions!B11*365*Assumptions!B12/1000</f>
        <v>1825</v>
      </c>
      <c r="C23" s="8" t="n">
        <f aca="false">Assumptions!C11*365*Assumptions!C12/1000</f>
        <v>3650</v>
      </c>
      <c r="D23" s="8" t="n">
        <f aca="false">Assumptions!D11*365*Assumptions!D12/1000</f>
        <v>5475</v>
      </c>
      <c r="E23" s="6" t="s">
        <v>98</v>
      </c>
    </row>
    <row r="24" customFormat="false" ht="15" hidden="false" customHeight="true" outlineLevel="0" collapsed="false">
      <c r="A24" s="1" t="s">
        <v>99</v>
      </c>
      <c r="B24" s="8" t="n">
        <f aca="false">B23*1000*Assumptions!B10/1000000</f>
        <v>912.5</v>
      </c>
      <c r="C24" s="8" t="n">
        <f aca="false">C23*1000*Assumptions!C10/1000000</f>
        <v>1825</v>
      </c>
      <c r="D24" s="8" t="n">
        <f aca="false">D23*1000*Assumptions!D10/1000000</f>
        <v>2737.5</v>
      </c>
      <c r="E24" s="6"/>
    </row>
    <row r="25" customFormat="false" ht="15" hidden="false" customHeight="true" outlineLevel="0" collapsed="false">
      <c r="A25" s="1" t="s">
        <v>100</v>
      </c>
      <c r="B25" s="8" t="n">
        <f aca="false">B23*1000*B22/1000000</f>
        <v>32.1150131131035</v>
      </c>
      <c r="C25" s="8" t="n">
        <f aca="false">C23*1000*C22/1000000</f>
        <v>40.6918897522414</v>
      </c>
      <c r="D25" s="8" t="n">
        <f aca="false">D23*1000*D22/1000000</f>
        <v>35.0362598348276</v>
      </c>
      <c r="E25" s="6"/>
    </row>
    <row r="27" customFormat="false" ht="15" hidden="false" customHeight="false" outlineLevel="0" collapsed="false">
      <c r="A27" s="9" t="s">
        <v>101</v>
      </c>
      <c r="E27" s="10" t="s">
        <v>102</v>
      </c>
    </row>
    <row r="28" customFormat="false" ht="15" hidden="false" customHeight="false" outlineLevel="0" collapsed="false">
      <c r="A28" s="1" t="s">
        <v>103</v>
      </c>
      <c r="B28" s="1" t="n">
        <f aca="false">1/(1+0.3275911*B9)</f>
        <v>0.637926342991072</v>
      </c>
      <c r="C28" s="1" t="n">
        <f aca="false">1/(1+0.3275911*C9)</f>
        <v>0.66003566816944</v>
      </c>
      <c r="D28" s="1" t="n">
        <f aca="false">1/(1+0.3275911*D9)</f>
        <v>0.67802551905229</v>
      </c>
      <c r="E28" s="1" t="s">
        <v>104</v>
      </c>
    </row>
    <row r="29" customFormat="false" ht="15" hidden="false" customHeight="false" outlineLevel="0" collapsed="false">
      <c r="A29" s="1" t="s">
        <v>105</v>
      </c>
      <c r="B29" s="1" t="n">
        <f aca="false">1-(0.254829592*B28-0.284496736*B28^2+1.421413741*B28^3-1.453152027*B28^4+1.061405429*B28^5)*EXP(-B9^2)</f>
        <v>-4.78065139810834</v>
      </c>
      <c r="C29" s="1" t="n">
        <f aca="false">1-(0.254829592*C28-0.284496736*C28^2+1.421413741*C28^3-1.453152027*C28^4+1.061405429*C28^5)*EXP(-C9^2)</f>
        <v>-2.67437183106844</v>
      </c>
      <c r="D29" s="1" t="n">
        <f aca="false">1-(0.254829592*D28-0.284496736*D28^2+1.421413741*D28^3-1.453152027*D28^4+1.061405429*D28^5)*EXP(-D9^2)</f>
        <v>-1.69858012084315</v>
      </c>
      <c r="E29" s="1" t="s">
        <v>106</v>
      </c>
    </row>
    <row r="30" customFormat="false" ht="15" hidden="false" customHeight="false" outlineLevel="0" collapsed="false">
      <c r="A30" s="1" t="s">
        <v>107</v>
      </c>
      <c r="B30" s="1" t="n">
        <f aca="false">ERF(B9)</f>
        <v>0.985724047540923</v>
      </c>
      <c r="C30" s="1" t="n">
        <f aca="false">ERF(C9)</f>
        <v>0.973821937585061</v>
      </c>
      <c r="D30" s="1" t="n">
        <f aca="false">ERF(D9)</f>
        <v>0.959637620942873</v>
      </c>
      <c r="E30" s="1" t="s">
        <v>108</v>
      </c>
    </row>
    <row r="31" customFormat="false" ht="15" hidden="false" customHeight="false" outlineLevel="0" collapsed="false">
      <c r="A31" s="1" t="s">
        <v>109</v>
      </c>
      <c r="B31" s="1" t="n">
        <f aca="false">ABS(B29-B30)</f>
        <v>5.76637544564926</v>
      </c>
      <c r="C31" s="1" t="n">
        <f aca="false">ABS(C29-C30)</f>
        <v>3.6481937686535</v>
      </c>
      <c r="D31" s="1" t="n">
        <f aca="false">ABS(D29-D30)</f>
        <v>2.65821774178602</v>
      </c>
      <c r="E31" s="1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46"/>
  </cols>
  <sheetData>
    <row r="1" customFormat="false" ht="15" hidden="false" customHeight="true" outlineLevel="0" collapsed="false">
      <c r="A1" s="3" t="s">
        <v>111</v>
      </c>
    </row>
    <row r="2" customFormat="false" ht="15" hidden="false" customHeight="true" outlineLevel="0" collapsed="false">
      <c r="A2" s="4" t="s">
        <v>112</v>
      </c>
      <c r="B2" s="4" t="s">
        <v>113</v>
      </c>
      <c r="C2" s="4" t="s">
        <v>114</v>
      </c>
      <c r="D2" s="4" t="s">
        <v>115</v>
      </c>
    </row>
    <row r="3" customFormat="false" ht="15" hidden="false" customHeight="true" outlineLevel="0" collapsed="false">
      <c r="A3" s="1" t="s">
        <v>116</v>
      </c>
      <c r="B3" s="5" t="n">
        <v>10</v>
      </c>
      <c r="C3" s="5" t="n">
        <v>30</v>
      </c>
      <c r="D3" s="6" t="s">
        <v>117</v>
      </c>
    </row>
    <row r="4" customFormat="false" ht="15" hidden="false" customHeight="true" outlineLevel="0" collapsed="false">
      <c r="A4" s="1" t="s">
        <v>118</v>
      </c>
      <c r="B4" s="5" t="n">
        <v>60</v>
      </c>
      <c r="C4" s="5" t="n">
        <v>150</v>
      </c>
      <c r="D4" s="6" t="s">
        <v>119</v>
      </c>
    </row>
    <row r="5" customFormat="false" ht="15" hidden="false" customHeight="true" outlineLevel="0" collapsed="false">
      <c r="A5" s="1" t="s">
        <v>120</v>
      </c>
      <c r="B5" s="5" t="n">
        <v>1000</v>
      </c>
      <c r="C5" s="5" t="n">
        <v>3000</v>
      </c>
      <c r="D5" s="6" t="s">
        <v>121</v>
      </c>
    </row>
    <row r="6" customFormat="false" ht="15" hidden="false" customHeight="true" outlineLevel="0" collapsed="false">
      <c r="A6" s="1" t="s">
        <v>122</v>
      </c>
      <c r="B6" s="5" t="n">
        <v>10000</v>
      </c>
      <c r="C6" s="5" t="n">
        <v>11000</v>
      </c>
      <c r="D6" s="6" t="s">
        <v>123</v>
      </c>
    </row>
    <row r="7" customFormat="false" ht="15" hidden="false" customHeight="true" outlineLevel="0" collapsed="false">
      <c r="A7" s="3" t="s">
        <v>124</v>
      </c>
      <c r="B7" s="1" t="n">
        <f aca="false">SUM(B3:B6)</f>
        <v>11070</v>
      </c>
      <c r="C7" s="1" t="n">
        <f aca="false">SUM(C3:C6)</f>
        <v>14180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7" min="2" style="1" width="11"/>
  </cols>
  <sheetData>
    <row r="1" customFormat="false" ht="15" hidden="false" customHeight="true" outlineLevel="0" collapsed="false">
      <c r="A1" s="3" t="s">
        <v>125</v>
      </c>
    </row>
    <row r="2" customFormat="false" ht="15" hidden="false" customHeight="true" outlineLevel="0" collapsed="false">
      <c r="A2" s="1" t="s">
        <v>126</v>
      </c>
      <c r="B2" s="7" t="s">
        <v>8</v>
      </c>
      <c r="C2" s="6" t="s">
        <v>127</v>
      </c>
    </row>
    <row r="3" customFormat="false" ht="15" hidden="false" customHeight="true" outlineLevel="0" collapsed="false">
      <c r="A3" s="1" t="s">
        <v>128</v>
      </c>
      <c r="B3" s="1" t="n">
        <f aca="false">MATCH(B2,{"Conservative","Baseline","Optimistic"},0)+1</f>
        <v>2</v>
      </c>
    </row>
    <row r="4" customFormat="false" ht="15" hidden="false" customHeight="true" outlineLevel="0" collapsed="false">
      <c r="A4" s="1" t="s">
        <v>129</v>
      </c>
      <c r="B4" s="11" t="n">
        <f aca="false">INDEX('Design Calcs'!19:19,B3)+INDEX(Assumptions!16:16,B3)</f>
        <v>8741.08695738148</v>
      </c>
    </row>
    <row r="5" customFormat="false" ht="15" hidden="false" customHeight="true" outlineLevel="0" collapsed="false">
      <c r="A5" s="1" t="s">
        <v>130</v>
      </c>
      <c r="B5" s="11" t="n">
        <f aca="false">INDEX('Design Calcs'!24:24,B3)</f>
        <v>912.5</v>
      </c>
    </row>
    <row r="6" customFormat="false" ht="15" hidden="false" customHeight="true" outlineLevel="0" collapsed="false">
      <c r="A6" s="1" t="s">
        <v>131</v>
      </c>
      <c r="B6" s="11" t="n">
        <f aca="false">INDEX('Design Calcs'!25:25,B3)</f>
        <v>32.1150131131035</v>
      </c>
    </row>
    <row r="7" customFormat="false" ht="15" hidden="false" customHeight="true" outlineLevel="0" collapsed="false">
      <c r="A7" s="1" t="s">
        <v>132</v>
      </c>
      <c r="B7" s="11" t="n">
        <f aca="false">INDEX(Assumptions!14:14,B3)</f>
        <v>80</v>
      </c>
    </row>
    <row r="8" customFormat="false" ht="15" hidden="false" customHeight="true" outlineLevel="0" collapsed="false">
      <c r="A8" s="1" t="s">
        <v>133</v>
      </c>
      <c r="B8" s="11" t="n">
        <f aca="false">INDEX(Assumptions!13:13,B3)</f>
        <v>0.3</v>
      </c>
    </row>
    <row r="10" customFormat="false" ht="15" hidden="false" customHeight="true" outlineLevel="0" collapsed="false">
      <c r="A10" s="4" t="s">
        <v>134</v>
      </c>
      <c r="B10" s="4" t="s">
        <v>135</v>
      </c>
      <c r="C10" s="4" t="s">
        <v>136</v>
      </c>
      <c r="D10" s="4" t="s">
        <v>137</v>
      </c>
      <c r="E10" s="4" t="s">
        <v>138</v>
      </c>
      <c r="F10" s="4" t="s">
        <v>139</v>
      </c>
      <c r="G10" s="4" t="s">
        <v>140</v>
      </c>
      <c r="H10" s="4" t="s">
        <v>141</v>
      </c>
      <c r="I10" s="4" t="s">
        <v>142</v>
      </c>
      <c r="J10" s="4" t="s">
        <v>143</v>
      </c>
      <c r="K10" s="4" t="s">
        <v>144</v>
      </c>
      <c r="L10" s="4" t="s">
        <v>145</v>
      </c>
      <c r="M10" s="4" t="s">
        <v>146</v>
      </c>
      <c r="N10" s="4" t="s">
        <v>147</v>
      </c>
      <c r="O10" s="4" t="s">
        <v>148</v>
      </c>
      <c r="P10" s="4" t="s">
        <v>149</v>
      </c>
    </row>
    <row r="11" customFormat="false" ht="15" hidden="false" customHeight="true" outlineLevel="0" collapsed="false">
      <c r="A11" s="1" t="s">
        <v>150</v>
      </c>
      <c r="B11" s="1" t="n">
        <f aca="false">$B$4*0.15</f>
        <v>1311.16304360722</v>
      </c>
      <c r="C11" s="1" t="n">
        <f aca="false">$B$4*0.3</f>
        <v>2622.32608721444</v>
      </c>
      <c r="D11" s="1" t="n">
        <f aca="false">$B$4*0.35</f>
        <v>3059.38043508352</v>
      </c>
      <c r="E11" s="1" t="n">
        <f aca="false">$B$4*0.2</f>
        <v>1748.2173914763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</row>
    <row r="12" customFormat="false" ht="15" hidden="false" customHeight="true" outlineLevel="0" collapsed="false">
      <c r="A12" s="1" t="s">
        <v>151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f aca="false">$B$5*$B$8</f>
        <v>273.75</v>
      </c>
      <c r="G12" s="1" t="n">
        <f aca="false">$B$5*MIN(1,$B$8+0.3)</f>
        <v>547.5</v>
      </c>
      <c r="H12" s="1" t="n">
        <f aca="false">$B$5</f>
        <v>912.5</v>
      </c>
      <c r="I12" s="1" t="n">
        <f aca="false">$B$5</f>
        <v>912.5</v>
      </c>
      <c r="J12" s="1" t="n">
        <f aca="false">$B$5</f>
        <v>912.5</v>
      </c>
      <c r="K12" s="1" t="n">
        <f aca="false">$B$5</f>
        <v>912.5</v>
      </c>
      <c r="L12" s="1" t="n">
        <f aca="false">$B$5</f>
        <v>912.5</v>
      </c>
      <c r="M12" s="1" t="n">
        <f aca="false">$B$5</f>
        <v>912.5</v>
      </c>
      <c r="N12" s="1" t="n">
        <f aca="false">$B$5</f>
        <v>912.5</v>
      </c>
      <c r="O12" s="1" t="n">
        <f aca="false">$B$5</f>
        <v>912.5</v>
      </c>
      <c r="P12" s="1" t="n">
        <f aca="false">$B$5</f>
        <v>912.5</v>
      </c>
    </row>
    <row r="13" customFormat="false" ht="15" hidden="false" customHeight="true" outlineLevel="0" collapsed="false">
      <c r="A13" s="1" t="s">
        <v>152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f aca="false">$B$6*$B$8+$B$7</f>
        <v>89.634503933931</v>
      </c>
      <c r="G13" s="1" t="n">
        <f aca="false">$B$6*MIN(1,$B$8+0.3)+$B$7</f>
        <v>99.2690078678621</v>
      </c>
      <c r="H13" s="1" t="n">
        <f aca="false">$B$6+$B$7</f>
        <v>112.115013113103</v>
      </c>
      <c r="I13" s="1" t="n">
        <f aca="false">$B$6+$B$7</f>
        <v>112.115013113103</v>
      </c>
      <c r="J13" s="1" t="n">
        <f aca="false">$B$6+$B$7</f>
        <v>112.115013113103</v>
      </c>
      <c r="K13" s="1" t="n">
        <f aca="false">$B$6+$B$7</f>
        <v>112.115013113103</v>
      </c>
      <c r="L13" s="1" t="n">
        <f aca="false">$B$6+$B$7</f>
        <v>112.115013113103</v>
      </c>
      <c r="M13" s="1" t="n">
        <f aca="false">$B$6+$B$7</f>
        <v>112.115013113103</v>
      </c>
      <c r="N13" s="1" t="n">
        <f aca="false">$B$6+$B$7</f>
        <v>112.115013113103</v>
      </c>
      <c r="O13" s="1" t="n">
        <f aca="false">$B$6+$B$7</f>
        <v>112.115013113103</v>
      </c>
      <c r="P13" s="1" t="n">
        <f aca="false">$B$6+$B$7</f>
        <v>112.115013113103</v>
      </c>
    </row>
    <row r="14" customFormat="false" ht="15" hidden="false" customHeight="true" outlineLevel="0" collapsed="false">
      <c r="A14" s="1" t="s">
        <v>153</v>
      </c>
      <c r="B14" s="1" t="n">
        <f aca="false">B12-B11-B13</f>
        <v>-1311.16304360722</v>
      </c>
      <c r="C14" s="1" t="n">
        <f aca="false">C12-C11-C13</f>
        <v>-2622.32608721444</v>
      </c>
      <c r="D14" s="1" t="n">
        <f aca="false">D12-D11-D13</f>
        <v>-3059.38043508352</v>
      </c>
      <c r="E14" s="1" t="n">
        <f aca="false">E12-E11-E13</f>
        <v>-1748.2173914763</v>
      </c>
      <c r="F14" s="1" t="n">
        <f aca="false">F12-F11-F13</f>
        <v>184.115496066069</v>
      </c>
      <c r="G14" s="1" t="n">
        <f aca="false">G12-G11-G13</f>
        <v>448.230992132138</v>
      </c>
      <c r="H14" s="1" t="n">
        <f aca="false">H12-H11-H13</f>
        <v>800.384986886897</v>
      </c>
      <c r="I14" s="1" t="n">
        <f aca="false">I12-I11-I13</f>
        <v>800.384986886897</v>
      </c>
      <c r="J14" s="1" t="n">
        <f aca="false">J12-J11-J13</f>
        <v>800.384986886897</v>
      </c>
      <c r="K14" s="1" t="n">
        <f aca="false">K12-K11-K13</f>
        <v>800.384986886897</v>
      </c>
      <c r="L14" s="1" t="n">
        <f aca="false">L12-L11-L13</f>
        <v>800.384986886897</v>
      </c>
      <c r="M14" s="1" t="n">
        <f aca="false">M12-M11-M13</f>
        <v>800.384986886897</v>
      </c>
      <c r="N14" s="1" t="n">
        <f aca="false">N12-N11-N13</f>
        <v>800.384986886897</v>
      </c>
      <c r="O14" s="1" t="n">
        <f aca="false">O12-O11-O13</f>
        <v>800.384986886897</v>
      </c>
      <c r="P14" s="1" t="n">
        <f aca="false">P12-P11-P13</f>
        <v>800.384986886897</v>
      </c>
    </row>
    <row r="15" customFormat="false" ht="15" hidden="false" customHeight="true" outlineLevel="0" collapsed="false">
      <c r="A15" s="1" t="s">
        <v>154</v>
      </c>
      <c r="B15" s="1" t="n">
        <f aca="false">B14</f>
        <v>-1311.16304360722</v>
      </c>
      <c r="C15" s="1" t="n">
        <f aca="false">B15+C14</f>
        <v>-3933.48913082166</v>
      </c>
      <c r="D15" s="1" t="n">
        <f aca="false">C15+D14</f>
        <v>-6992.86956590518</v>
      </c>
      <c r="E15" s="1" t="n">
        <f aca="false">D15+E14</f>
        <v>-8741.08695738148</v>
      </c>
      <c r="F15" s="1" t="n">
        <f aca="false">E15+F14</f>
        <v>-8556.97146131541</v>
      </c>
      <c r="G15" s="1" t="n">
        <f aca="false">F15+G14</f>
        <v>-8108.74046918327</v>
      </c>
      <c r="H15" s="1" t="n">
        <f aca="false">G15+H14</f>
        <v>-7308.35548229637</v>
      </c>
      <c r="I15" s="1" t="n">
        <f aca="false">H15+I14</f>
        <v>-6507.97049540948</v>
      </c>
      <c r="J15" s="1" t="n">
        <f aca="false">I15+J14</f>
        <v>-5707.58550852258</v>
      </c>
      <c r="K15" s="1" t="n">
        <f aca="false">J15+K14</f>
        <v>-4907.20052163569</v>
      </c>
      <c r="L15" s="1" t="n">
        <f aca="false">K15+L14</f>
        <v>-4106.81553474879</v>
      </c>
      <c r="M15" s="1" t="n">
        <f aca="false">L15+M14</f>
        <v>-3306.43054786189</v>
      </c>
      <c r="N15" s="1" t="n">
        <f aca="false">M15+N14</f>
        <v>-2506.045560975</v>
      </c>
      <c r="O15" s="1" t="n">
        <f aca="false">N15+O14</f>
        <v>-1705.6605740881</v>
      </c>
      <c r="P15" s="1" t="n">
        <f aca="false">O15+P14</f>
        <v>-905.275587201202</v>
      </c>
    </row>
    <row r="16" customFormat="false" ht="15" hidden="false" customHeight="true" outlineLevel="0" collapsed="false">
      <c r="A16" s="1" t="s">
        <v>155</v>
      </c>
      <c r="B16" s="1" t="str">
        <f aca="false">IFERROR(MATCH(TRUE(),INDEX(B15:P15&gt;0,0),0),"beyond Y15")</f>
        <v>beyond Y15</v>
      </c>
    </row>
    <row r="18" customFormat="false" ht="15" hidden="false" customHeight="true" outlineLevel="0" collapsed="false">
      <c r="A18" s="6" t="s">
        <v>156</v>
      </c>
    </row>
    <row r="19" customFormat="false" ht="15" hidden="false" customHeight="false" outlineLevel="0" collapsed="false">
      <c r="A19" s="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2026-06-11T20:46:26Z</dcterms:created>
  <dc:creator>openpyxl</dc:creator>
  <dc:description/>
  <dc:language>en-US</dc:language>
  <cp:lastModifiedBy/>
  <dcterms:modified xsi:type="dcterms:W3CDTF">2026-07-02T21:38:34Z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