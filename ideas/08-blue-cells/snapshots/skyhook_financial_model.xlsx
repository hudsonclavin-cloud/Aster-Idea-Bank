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README" sheetId="1" state="visible" r:id="rId1"/>
    <sheet name="Assumptions" sheetId="2" state="visible" r:id="rId2"/>
    <sheet name="Design Calcs" sheetId="3" state="visible" r:id="rId3"/>
    <sheet name="Phase Budgets" sheetId="4" state="visible" r:id="rId4"/>
    <sheet name="Cash Flow &amp; Payback" sheetId="5" state="visible" r:id="rId5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3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color rgb="FF13294B"/>
      <sz val="14"/>
    </font>
    <font>
      <name val="Cambria"/>
      <charset val="1"/>
      <family val="0"/>
      <b val="1"/>
      <color rgb="FF13294B"/>
      <sz val="11"/>
    </font>
    <font>
      <name val="Cambria"/>
      <charset val="1"/>
      <family val="0"/>
      <b val="1"/>
      <color rgb="FFFFFFFF"/>
      <sz val="11"/>
    </font>
    <font>
      <name val="Cambria"/>
      <charset val="1"/>
      <family val="0"/>
      <color rgb="FF0000FF"/>
      <sz val="11"/>
    </font>
    <font>
      <name val="Cambria"/>
      <charset val="1"/>
      <family val="0"/>
      <i val="1"/>
      <color rgb="FF666666"/>
      <sz val="9"/>
    </font>
    <font>
      <name val="Cambria"/>
      <charset val="1"/>
      <family val="0"/>
      <color rgb="FF000000"/>
      <sz val="11"/>
    </font>
    <font>
      <name val="Cambria"/>
      <charset val="1"/>
      <family val="0"/>
      <color rgb="FF008000"/>
      <sz val="11"/>
    </font>
    <font>
      <name val="Calibri"/>
      <family val="2"/>
      <b val="1"/>
      <color rgb="FF000000"/>
      <sz val="18"/>
    </font>
    <font>
      <name val="Calibri"/>
      <family val="2"/>
      <color rgb="FF000000"/>
      <sz val="10"/>
    </font>
  </fonts>
  <fills count="4">
    <fill>
      <patternFill/>
    </fill>
    <fill>
      <patternFill patternType="gray125"/>
    </fill>
    <fill>
      <patternFill patternType="solid">
        <fgColor rgb="FF13294B"/>
        <bgColor rgb="FF333333"/>
      </patternFill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4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7" fillId="3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7" fillId="3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5" fillId="0" borderId="0" pivotButton="0" quotePrefix="0" xfId="0"/>
    <xf numFmtId="0" fontId="8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E9945"/>
      <rgbColor rgb="FF800080"/>
      <rgbColor rgb="FF008080"/>
      <rgbColor rgb="FFC0D2A7"/>
      <rgbColor rgb="FF878787"/>
      <rgbColor rgb="FF9999FF"/>
      <rgbColor rgb="FF9D3E3B"/>
      <rgbColor rgb="FFFFFFCC"/>
      <rgbColor rgb="FFCCFFFF"/>
      <rgbColor rgb="FF660066"/>
      <rgbColor rgb="FFFF8080"/>
      <rgbColor rgb="FF3D679A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A5B5D3"/>
      <rgbColor rgb="FFD4A5A4"/>
      <rgbColor rgb="FFCC99FF"/>
      <rgbColor rgb="FFFFCC99"/>
      <rgbColor rgb="FF4A7EBB"/>
      <rgbColor rgb="FF46AAC4"/>
      <rgbColor rgb="FF98B855"/>
      <rgbColor rgb="FFFFCC00"/>
      <rgbColor rgb="FFF59240"/>
      <rgbColor rgb="FFCB7934"/>
      <rgbColor rgb="FF7D5FA0"/>
      <rgbColor rgb="FF666666"/>
      <rgbColor rgb="FF13294B"/>
      <rgbColor rgb="FF398BA2"/>
      <rgbColor rgb="FF003300"/>
      <rgbColor rgb="FF333300"/>
      <rgbColor rgb="FF993300"/>
      <rgbColor rgb="FFBE4B48"/>
      <rgbColor rgb="FF674F84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6429375" cy="3571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7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40" customWidth="1" style="12" min="1" max="1"/>
  </cols>
  <sheetData>
    <row r="1" ht="17.25" customHeight="1" s="13">
      <c r="A1" s="14" t="inlineStr">
        <is>
          <t>SKYHOOK PROGRAM — FINANCIAL MODEL v1 (Rule 4: base case = Conservative only)</t>
        </is>
      </c>
    </row>
    <row r="3" ht="15" customHeight="1" s="13">
      <c r="A3" s="12" t="inlineStr">
        <is>
          <t>Sheets: Assumptions (blue = change me) · Design Calcs (physics, EQ 1-5) · Phase Budgets · Cash Flow &amp; Payback.</t>
        </is>
      </c>
    </row>
    <row r="4" ht="15" customHeight="1" s="13">
      <c r="A4" s="12" t="inlineStr">
        <is>
          <t>Color code: BLUE = hardcoded inputs · BLACK = formulas · GREEN = cross-sheet links · YELLOW fill = key assumption needing attention.</t>
        </is>
      </c>
    </row>
    <row r="5" ht="15" customHeight="1" s="13">
      <c r="A5" s="12" t="inlineStr">
        <is>
          <t>All performance formulas trace to the project instructions: Tsiolkovsky (EQ 1), kinematics (EQ 2-3), taper &amp; Moravec/Forward mass ratio (EQ 4), ED reboost energy (EQ 5).</t>
        </is>
      </c>
    </row>
    <row r="6" ht="15" customHeight="1" s="13">
      <c r="A6" s="12" t="inlineStr">
        <is>
          <t>Sources: Moravec 1977; Hoyt &amp; Forward HASTOL reports; NASA MXER studies; project instructions Rev A (Parts VI-VII). Anchors, not promises.</t>
        </is>
      </c>
    </row>
    <row r="7" ht="15" customHeight="1" s="13">
      <c r="A7" s="12" t="inlineStr">
        <is>
          <t>Scenario selector on Cash Flow sheet drives the whole model: Conservative / Baseline / Optimistic.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E3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4" customWidth="1" style="12" min="1" max="1"/>
    <col width="14" customWidth="1" style="12" min="2" max="4"/>
    <col width="30" customWidth="1" style="12" min="5" max="5"/>
  </cols>
  <sheetData>
    <row r="1" ht="15" customHeight="1" s="13">
      <c r="A1" s="15" t="inlineStr">
        <is>
          <t>LADDER ASSUMPTIONS (Rule 4)</t>
        </is>
      </c>
    </row>
    <row r="2" ht="15" customHeight="1" s="13">
      <c r="A2" s="16" t="inlineStr">
        <is>
          <t>Parameter</t>
        </is>
      </c>
      <c r="B2" s="16" t="inlineStr">
        <is>
          <t>Conservative</t>
        </is>
      </c>
      <c r="C2" s="16" t="inlineStr">
        <is>
          <t>Baseline</t>
        </is>
      </c>
      <c r="D2" s="16" t="inlineStr">
        <is>
          <t>Optimistic</t>
        </is>
      </c>
      <c r="E2" s="16" t="inlineStr">
        <is>
          <t>Source / note</t>
        </is>
      </c>
    </row>
    <row r="3" ht="15" customHeight="1" s="13">
      <c r="A3" s="12" t="inlineStr">
        <is>
          <t>Fiber strength retention (1 - derate); joints/weave/aging</t>
        </is>
      </c>
      <c r="B3" s="17" t="n">
        <v>0.7</v>
      </c>
      <c r="C3" s="17" t="n">
        <v>0.85</v>
      </c>
      <c r="D3" s="17" t="n">
        <v>1</v>
      </c>
      <c r="E3" s="18" t="inlineStr">
        <is>
          <t>Rev A ladder = rev_a.json derate_fraction 30%/15%/0%; Conservative is Rule 4 base case</t>
        </is>
      </c>
    </row>
    <row r="4" ht="15" customHeight="1" s="13">
      <c r="A4" s="12" t="inlineStr">
        <is>
          <t>Ascent losses (m/s)</t>
        </is>
      </c>
      <c r="B4" s="17" t="n">
        <v>1800</v>
      </c>
      <c r="C4" s="17" t="n">
        <v>1500</v>
      </c>
      <c r="D4" s="17" t="n">
        <v>1200</v>
      </c>
      <c r="E4" s="18" t="inlineStr">
        <is>
          <t>gravity+drag for suborbital profile</t>
        </is>
      </c>
    </row>
    <row r="5" ht="15" customHeight="1" s="13">
      <c r="A5" s="12" t="inlineStr">
        <is>
          <t>Launch price during construction ($/kg)</t>
        </is>
      </c>
      <c r="B5" s="17" t="n">
        <v>2500</v>
      </c>
      <c r="C5" s="17" t="n">
        <v>1500</v>
      </c>
      <c r="D5" s="17" t="n">
        <v>800</v>
      </c>
      <c r="E5" s="18" t="inlineStr">
        <is>
          <t>blended commercial, Part 7.2</t>
        </is>
      </c>
    </row>
    <row r="6" ht="15" customHeight="1" s="13">
      <c r="A6" s="12" t="inlineStr">
        <is>
          <t>Power chain efficiency (ED reboost)</t>
        </is>
      </c>
      <c r="B6" s="17" t="n">
        <v>0.15</v>
      </c>
      <c r="C6" s="17" t="n">
        <v>0.2</v>
      </c>
      <c r="D6" s="17" t="n">
        <v>0.3</v>
      </c>
      <c r="E6" s="18" t="inlineStr">
        <is>
          <t>array-&gt;PMAD-&gt;thrust, MXER studies</t>
        </is>
      </c>
    </row>
    <row r="7" ht="15" customHeight="1" s="13">
      <c r="A7" s="12" t="inlineStr">
        <is>
          <t>Electricity cost ($/kWh, amortized array)</t>
        </is>
      </c>
      <c r="B7" s="17" t="n">
        <v>0.08</v>
      </c>
      <c r="C7" s="17" t="n">
        <v>0.06</v>
      </c>
      <c r="D7" s="17" t="n">
        <v>0.04</v>
      </c>
      <c r="E7" s="18" t="inlineStr">
        <is>
          <t>labeled assumption</t>
        </is>
      </c>
    </row>
    <row r="8" ht="15" customHeight="1" s="13">
      <c r="A8" s="12" t="inlineStr">
        <is>
          <t>Ops + wear + insurance increment ($/kg)</t>
        </is>
      </c>
      <c r="B8" s="19" t="n">
        <v>12</v>
      </c>
      <c r="C8" s="19" t="n">
        <v>8</v>
      </c>
      <c r="D8" s="19" t="n">
        <v>5</v>
      </c>
      <c r="E8" s="18" t="inlineStr">
        <is>
          <t>labeled assumption pending subsystem estimates</t>
        </is>
      </c>
    </row>
    <row r="9" ht="15" customHeight="1" s="13">
      <c r="A9" s="12" t="inlineStr">
        <is>
          <t>Hardware mass factor (x tether launch cost)</t>
        </is>
      </c>
      <c r="B9" s="17" t="n">
        <v>1.8</v>
      </c>
      <c r="C9" s="17" t="n">
        <v>1.6</v>
      </c>
      <c r="D9" s="17" t="n">
        <v>1.4</v>
      </c>
      <c r="E9" s="18" t="inlineStr">
        <is>
          <t>hub/arrays/tips, Part 7.2</t>
        </is>
      </c>
    </row>
    <row r="10" ht="15" customHeight="1" s="13">
      <c r="A10" s="12" t="inlineStr">
        <is>
          <t>Boost price to customer ($/kg)</t>
        </is>
      </c>
      <c r="B10" s="17" t="n">
        <v>500</v>
      </c>
      <c r="C10" s="17" t="n">
        <v>500</v>
      </c>
      <c r="D10" s="17" t="n">
        <v>500</v>
      </c>
      <c r="E10" s="18" t="inlineStr">
        <is>
          <t>held flat across scenarios deliberately</t>
        </is>
      </c>
    </row>
    <row r="11" ht="15" customHeight="1" s="13">
      <c r="A11" s="12" t="inlineStr">
        <is>
          <t>Mature cadence (catches/day)</t>
        </is>
      </c>
      <c r="B11" s="17" t="n">
        <v>1</v>
      </c>
      <c r="C11" s="17" t="n">
        <v>2</v>
      </c>
      <c r="D11" s="17" t="n">
        <v>3</v>
      </c>
      <c r="E11" s="18" t="inlineStr">
        <is>
          <t>Part 7.3</t>
        </is>
      </c>
    </row>
    <row r="12" ht="15" customHeight="1" s="13">
      <c r="A12" s="12" t="inlineStr">
        <is>
          <t>Payload per catch (kg)</t>
        </is>
      </c>
      <c r="B12" s="17" t="n">
        <v>5000</v>
      </c>
      <c r="C12" s="17" t="n">
        <v>5000</v>
      </c>
      <c r="D12" s="17" t="n">
        <v>5000</v>
      </c>
      <c r="E12" s="18" t="inlineStr">
        <is>
          <t>Phase 3 reference</t>
        </is>
      </c>
    </row>
    <row r="13" ht="15" customHeight="1" s="13">
      <c r="A13" s="12" t="inlineStr">
        <is>
          <t>Revenue ramp Y1/Y2/Y3 of ops</t>
        </is>
      </c>
      <c r="B13" s="17" t="n">
        <v>0.3</v>
      </c>
      <c r="C13" s="17" t="n">
        <v>0.4</v>
      </c>
      <c r="D13" s="17" t="n">
        <v>0.5</v>
      </c>
      <c r="E13" s="18" t="inlineStr">
        <is>
          <t>fraction of mature in first ops year</t>
        </is>
      </c>
    </row>
    <row r="14" ht="15" customHeight="1" s="13">
      <c r="A14" s="12" t="inlineStr">
        <is>
          <t>Fixed annual ops cost ($M)</t>
        </is>
      </c>
      <c r="B14" s="17" t="n">
        <v>80</v>
      </c>
      <c r="C14" s="17" t="n">
        <v>60</v>
      </c>
      <c r="D14" s="17" t="n">
        <v>45</v>
      </c>
      <c r="E14" s="18" t="inlineStr">
        <is>
          <t>mission ops, ground, G&amp;A</t>
        </is>
      </c>
    </row>
    <row r="15" ht="15" customHeight="1" s="13">
      <c r="A15" s="12" t="inlineStr">
        <is>
          <t>Design tip speed (km/s) — fixed at Rev A 2.5 km/s reference</t>
        </is>
      </c>
      <c r="B15" s="17" t="n">
        <v>2.5</v>
      </c>
      <c r="C15" s="17" t="n">
        <v>2.5</v>
      </c>
      <c r="D15" s="17" t="n">
        <v>2.5</v>
      </c>
      <c r="E15" s="18" t="inlineStr">
        <is>
          <t>Rev A reference (rev_a.json); conservatism lever is fiber derate (row 3), not tip speed</t>
        </is>
      </c>
    </row>
    <row r="16" ht="15" customHeight="1" s="13">
      <c r="A16" s="12" t="inlineStr">
        <is>
          <t>Program + launcher fleet capex ($M)</t>
        </is>
      </c>
      <c r="B16" s="17" t="n">
        <v>6000</v>
      </c>
      <c r="C16" s="17" t="n">
        <v>5000</v>
      </c>
      <c r="D16" s="17" t="n">
        <v>4000</v>
      </c>
      <c r="E16" s="18" t="inlineStr">
        <is>
          <t>Part 7.2: fleet ~$2-3B + program/reserves; conservative adds margin</t>
        </is>
      </c>
    </row>
    <row r="17" ht="15" customHeight="1" s="13">
      <c r="A17" s="15" t="inlineStr">
        <is>
          <t>SHARED DESIGN POINT (Rev A, 2.5 km/s GTO/high-elliptical reference)</t>
        </is>
      </c>
    </row>
    <row r="18" ht="15" customHeight="1" s="13">
      <c r="A18" s="16" t="inlineStr">
        <is>
          <t>Parameter</t>
        </is>
      </c>
      <c r="B18" s="16" t="inlineStr">
        <is>
          <t>Value</t>
        </is>
      </c>
      <c r="E18" s="16" t="inlineStr">
        <is>
          <t>Source / note</t>
        </is>
      </c>
    </row>
    <row r="19" ht="15" customHeight="1" s="13">
      <c r="A19" s="12" t="inlineStr">
        <is>
          <t>CoM altitude (km)</t>
        </is>
      </c>
      <c r="B19" s="17" t="n">
        <v>610</v>
      </c>
      <c r="E19" s="18" t="inlineStr">
        <is>
          <t>Zylon baseline, Part 2.3 table</t>
        </is>
      </c>
    </row>
    <row r="20" ht="15" customHeight="1" s="13">
      <c r="A20" s="12" t="inlineStr">
        <is>
          <t>Half-length L (km)</t>
        </is>
      </c>
      <c r="B20" s="17" t="n">
        <v>320</v>
      </c>
    </row>
    <row r="21" ht="15" customHeight="1" s="13">
      <c r="A21" s="12" t="inlineStr">
        <is>
          <t>Rev A reference tip speed (km/s) — GTO/high-elliptical</t>
        </is>
      </c>
      <c r="B21" s="17" t="n">
        <v>2.5</v>
      </c>
    </row>
    <row r="22" ht="15" customHeight="1" s="13">
      <c r="A22" s="12" t="inlineStr">
        <is>
          <t>Safety factor on stress</t>
        </is>
      </c>
      <c r="B22" s="17" t="n">
        <v>2.5</v>
      </c>
    </row>
    <row r="23" ht="15" customHeight="1" s="13">
      <c r="A23" s="12" t="inlineStr">
        <is>
          <t>Fiber tensile strength sigma (GPa)</t>
        </is>
      </c>
      <c r="B23" s="17" t="n">
        <v>5.8</v>
      </c>
    </row>
    <row r="24" ht="15" customHeight="1" s="13">
      <c r="A24" s="12" t="inlineStr">
        <is>
          <t>Fiber density rho (kg/m3)</t>
        </is>
      </c>
      <c r="B24" s="17" t="n">
        <v>1560</v>
      </c>
    </row>
    <row r="25" ht="15" customHeight="1" s="13">
      <c r="A25" s="12" t="inlineStr">
        <is>
          <t>Vehicle exhaust velocity (km/s)</t>
        </is>
      </c>
      <c r="B25" s="17" t="n">
        <v>3.4</v>
      </c>
    </row>
    <row r="26" ht="15" customHeight="1" s="13">
      <c r="A26" s="12" t="inlineStr">
        <is>
          <t>All-rocket reference dv (km/s)</t>
        </is>
      </c>
      <c r="B26" s="17" t="n">
        <v>9.4</v>
      </c>
    </row>
    <row r="27" ht="15" customHeight="1" s="13">
      <c r="A27" s="12" t="inlineStr">
        <is>
          <t>Structure fraction of vehicle</t>
        </is>
      </c>
      <c r="B27" s="17" t="n">
        <v>0.04</v>
      </c>
    </row>
    <row r="28" ht="15" customHeight="1" s="13">
      <c r="A28" s="12" t="inlineStr">
        <is>
          <t>Equatorial rotation help (km/s)</t>
        </is>
      </c>
      <c r="B28" s="17" t="n">
        <v>0.465</v>
      </c>
    </row>
    <row r="31" ht="15" customHeight="1" s="13">
      <c r="A31" s="15" t="inlineStr">
        <is>
          <t>PHYSICAL CONSTANTS</t>
        </is>
      </c>
    </row>
    <row r="32" ht="15" customHeight="1" s="13">
      <c r="A32" s="12" t="inlineStr">
        <is>
          <t>mu Earth (km3/s2)</t>
        </is>
      </c>
      <c r="B32" s="17" t="n">
        <v>398600</v>
      </c>
    </row>
    <row r="33" ht="15" customHeight="1" s="13">
      <c r="A33" s="12" t="inlineStr">
        <is>
          <t>Earth radius (km)</t>
        </is>
      </c>
      <c r="B33" s="17" t="n">
        <v>6371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E3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0" customWidth="1" style="12" min="1" max="1"/>
    <col width="16" customWidth="1" style="12" min="2" max="4"/>
    <col width="34" customWidth="1" style="12" min="5" max="5"/>
  </cols>
  <sheetData>
    <row r="1" ht="15" customHeight="1" s="13">
      <c r="A1" s="15" t="inlineStr">
        <is>
          <t>DESIGN CALCS — all formulas, per scenario (EQ 1-5)</t>
        </is>
      </c>
    </row>
    <row r="2" ht="15" customHeight="1" s="13">
      <c r="A2" s="16" t="inlineStr">
        <is>
          <t>Quantity</t>
        </is>
      </c>
      <c r="B2" s="16" t="inlineStr">
        <is>
          <t>Conservative</t>
        </is>
      </c>
      <c r="C2" s="16" t="inlineStr">
        <is>
          <t>Baseline</t>
        </is>
      </c>
      <c r="D2" s="16" t="inlineStr">
        <is>
          <t>Optimistic</t>
        </is>
      </c>
      <c r="E2" s="16" t="inlineStr">
        <is>
          <t>Formula trace</t>
        </is>
      </c>
    </row>
    <row r="3" ht="15" customHeight="1" s="13">
      <c r="A3" s="12" t="inlineStr">
        <is>
          <t>Orbital radius R (km)</t>
        </is>
      </c>
      <c r="B3" s="20">
        <f>Assumptions!$B$33+Assumptions!$B$19</f>
        <v/>
      </c>
      <c r="C3" s="20">
        <f>Assumptions!$B$33+Assumptions!$B$19</f>
        <v/>
      </c>
      <c r="D3" s="20">
        <f>Assumptions!$B$33+Assumptions!$B$19</f>
        <v/>
      </c>
      <c r="E3" s="18" t="inlineStr">
        <is>
          <t>R = R_E + h</t>
        </is>
      </c>
    </row>
    <row r="4" ht="15" customHeight="1" s="13">
      <c r="A4" s="12" t="inlineStr">
        <is>
          <t>Orbital velocity v_orb (km/s)</t>
        </is>
      </c>
      <c r="B4" s="20">
        <f>SQRT(Assumptions!$B$32/B3)</f>
        <v/>
      </c>
      <c r="C4" s="20">
        <f>SQRT(Assumptions!$B$32/C3)</f>
        <v/>
      </c>
      <c r="D4" s="20">
        <f>SQRT(Assumptions!$B$32/D3)</f>
        <v/>
      </c>
      <c r="E4" s="18" t="inlineStr">
        <is>
          <t>EQ 2</t>
        </is>
      </c>
    </row>
    <row r="5" ht="15" customHeight="1" s="13">
      <c r="A5" s="12" t="inlineStr">
        <is>
          <t>Spin rate omega (rad/s)</t>
        </is>
      </c>
      <c r="B5" s="20">
        <f>Assumptions!B15/Assumptions!$B$20</f>
        <v/>
      </c>
      <c r="C5" s="20">
        <f>Assumptions!C15/Assumptions!$B$20</f>
        <v/>
      </c>
      <c r="D5" s="20">
        <f>Assumptions!D15/Assumptions!$B$20</f>
        <v/>
      </c>
      <c r="E5" s="18" t="inlineStr">
        <is>
          <t>omega = v_tip/L</t>
        </is>
      </c>
    </row>
    <row r="6" ht="15" customHeight="1" s="13">
      <c r="A6" s="12" t="inlineStr">
        <is>
          <t>Rotation period (min)</t>
        </is>
      </c>
      <c r="B6" s="20">
        <f>2*PI()/B5/60</f>
        <v/>
      </c>
      <c r="C6" s="20">
        <f>2*PI()/C5/60</f>
        <v/>
      </c>
      <c r="D6" s="20">
        <f>2*PI()/D5/60</f>
        <v/>
      </c>
      <c r="E6" s="18" t="inlineStr">
        <is>
          <t>2pi/omega</t>
        </is>
      </c>
    </row>
    <row r="7" ht="15" customHeight="1" s="13">
      <c r="A7" s="12" t="inlineStr">
        <is>
          <t>Tip acceleration (g)</t>
        </is>
      </c>
      <c r="B7" s="20">
        <f>Assumptions!B15^2*1000/Assumptions!$B$20/9.81</f>
        <v/>
      </c>
      <c r="C7" s="20">
        <f>Assumptions!C15^2*1000/Assumptions!$B$20/9.81</f>
        <v/>
      </c>
      <c r="D7" s="20">
        <f>Assumptions!D15^2*1000/Assumptions!$B$20/9.81</f>
        <v/>
      </c>
      <c r="E7" s="18" t="inlineStr">
        <is>
          <t>v^2/L</t>
        </is>
      </c>
    </row>
    <row r="8" ht="15" customHeight="1" s="13">
      <c r="A8" s="12" t="inlineStr">
        <is>
          <t>Derated char. velocity V_c (km/s)</t>
        </is>
      </c>
      <c r="B8" s="20">
        <f>SQRT(2*Assumptions!$B$23*1000000000*Assumptions!B3/Assumptions!$B$24)/1000</f>
        <v/>
      </c>
      <c r="C8" s="20">
        <f>SQRT(2*Assumptions!$B$23*1000000000*Assumptions!C3/Assumptions!$B$24)/1000</f>
        <v/>
      </c>
      <c r="D8" s="20">
        <f>SQRT(2*Assumptions!$B$23*1000000000*Assumptions!D3/Assumptions!$B$24)/1000</f>
        <v/>
      </c>
      <c r="E8" s="18" t="inlineStr">
        <is>
          <t>EQ 4 with ladder derate</t>
        </is>
      </c>
    </row>
    <row r="9" ht="15" customHeight="1" s="13">
      <c r="A9" s="12" t="inlineStr">
        <is>
          <t>Working ratio x = v_tip/(V_c/sqrt(SF))</t>
        </is>
      </c>
      <c r="B9" s="20">
        <f>Assumptions!B15/(B8/SQRT(Assumptions!$B$22))</f>
        <v/>
      </c>
      <c r="C9" s="20">
        <f>Assumptions!C15/(C8/SQRT(Assumptions!$B$22))</f>
        <v/>
      </c>
      <c r="D9" s="20">
        <f>Assumptions!D15/(D8/SQRT(Assumptions!$B$22))</f>
        <v/>
      </c>
      <c r="E9" s="18" t="inlineStr">
        <is>
          <t>EQ 4</t>
        </is>
      </c>
    </row>
    <row r="10" ht="15" customHeight="1" s="13">
      <c r="A10" s="12" t="inlineStr">
        <is>
          <t>Taper ratio</t>
        </is>
      </c>
      <c r="B10" s="20">
        <f>EXP(B9^2)</f>
        <v/>
      </c>
      <c r="C10" s="20">
        <f>EXP(C9^2)</f>
        <v/>
      </c>
      <c r="D10" s="20">
        <f>EXP(D9^2)</f>
        <v/>
      </c>
      <c r="E10" s="18" t="inlineStr">
        <is>
          <t>exp(x^2)</t>
        </is>
      </c>
    </row>
    <row r="11" ht="15" customHeight="1" s="13">
      <c r="A11" s="12" t="inlineStr">
        <is>
          <t>Tether/payload mass ratio (single arm)</t>
        </is>
      </c>
      <c r="B11" s="20">
        <f>SQRT(PI())*B9*EXP(B9^2)*ERF(B9)</f>
        <v/>
      </c>
      <c r="C11" s="20">
        <f>SQRT(PI())*C9*EXP(C9^2)*ERF(C9)</f>
        <v/>
      </c>
      <c r="D11" s="20">
        <f>SQRT(PI())*D9*EXP(D9^2)*ERF(D9)</f>
        <v/>
      </c>
      <c r="E11" s="18" t="inlineStr">
        <is>
          <t>Moravec/Forward</t>
        </is>
      </c>
    </row>
    <row r="12" ht="15" customHeight="1" s="13">
      <c r="A12" s="12" t="inlineStr">
        <is>
          <t>Total tether mass, 2 arms (t)</t>
        </is>
      </c>
      <c r="B12" s="20">
        <f>2*B11*Assumptions!B12/1000</f>
        <v/>
      </c>
      <c r="C12" s="20">
        <f>2*C11*Assumptions!C12/1000</f>
        <v/>
      </c>
      <c r="D12" s="20">
        <f>2*D11*Assumptions!D12/1000</f>
        <v/>
      </c>
      <c r="E12" s="18" t="inlineStr">
        <is>
          <t>x payload per catch</t>
        </is>
      </c>
    </row>
    <row r="13" ht="15" customHeight="1" s="13">
      <c r="A13" s="12" t="inlineStr">
        <is>
          <t>Catch speed ground-rel (km/s)</t>
        </is>
      </c>
      <c r="B13" s="20">
        <f>B4-Assumptions!B15-Assumptions!$B$28</f>
        <v/>
      </c>
      <c r="C13" s="20">
        <f>C4-Assumptions!C15-Assumptions!$B$28</f>
        <v/>
      </c>
      <c r="D13" s="20">
        <f>D4-Assumptions!D15-Assumptions!$B$28</f>
        <v/>
      </c>
      <c r="E13" s="18" t="inlineStr">
        <is>
          <t>EQ 3 + Earth help</t>
        </is>
      </c>
    </row>
    <row r="14" ht="15" customHeight="1" s="13">
      <c r="A14" s="12" t="inlineStr">
        <is>
          <t>Vehicle dv incl losses (km/s)</t>
        </is>
      </c>
      <c r="B14" s="20">
        <f>B13+Assumptions!B4/1000</f>
        <v/>
      </c>
      <c r="C14" s="20">
        <f>C13+Assumptions!C4/1000</f>
        <v/>
      </c>
      <c r="D14" s="20">
        <f>D13+Assumptions!D4/1000</f>
        <v/>
      </c>
      <c r="E14" s="18" t="inlineStr">
        <is>
          <t>ladder losses</t>
        </is>
      </c>
    </row>
    <row r="15" ht="15" customHeight="1" s="13">
      <c r="A15" s="12" t="inlineStr">
        <is>
          <t>dv saved vs all-rocket (km/s)</t>
        </is>
      </c>
      <c r="B15" s="20">
        <f>Assumptions!$B$26-B14</f>
        <v/>
      </c>
      <c r="C15" s="20">
        <f>Assumptions!$B$26-C14</f>
        <v/>
      </c>
      <c r="D15" s="20">
        <f>Assumptions!$B$26-D14</f>
        <v/>
      </c>
      <c r="E15" s="18" t="n"/>
    </row>
    <row r="16" ht="15" customHeight="1" s="13">
      <c r="A16" s="12" t="inlineStr">
        <is>
          <t>Payload fraction w/ skyhook</t>
        </is>
      </c>
      <c r="B16" s="20">
        <f>MAX(0,EXP(-B14/Assumptions!$B$25)-Assumptions!$B$27)</f>
        <v/>
      </c>
      <c r="C16" s="20">
        <f>MAX(0,EXP(-C14/Assumptions!$B$25)-Assumptions!$B$27)</f>
        <v/>
      </c>
      <c r="D16" s="20">
        <f>MAX(0,EXP(-D14/Assumptions!$B$25)-Assumptions!$B$27)</f>
        <v/>
      </c>
      <c r="E16" s="18" t="inlineStr">
        <is>
          <t>EQ 1 - structure</t>
        </is>
      </c>
    </row>
    <row r="17" ht="15" customHeight="1" s="13">
      <c r="A17" s="12" t="inlineStr">
        <is>
          <t>Payload fraction all-rocket</t>
        </is>
      </c>
      <c r="B17" s="20">
        <f>MAX(0,EXP(-Assumptions!$B$26/Assumptions!$B$25)-Assumptions!$B$27)</f>
        <v/>
      </c>
      <c r="C17" s="20">
        <f>MAX(0,EXP(-Assumptions!$B$26/Assumptions!$B$25)-Assumptions!$B$27)</f>
        <v/>
      </c>
      <c r="D17" s="20">
        <f>MAX(0,EXP(-Assumptions!$B$26/Assumptions!$B$25)-Assumptions!$B$27)</f>
        <v/>
      </c>
      <c r="E17" s="18" t="inlineStr">
        <is>
          <t>EQ 1</t>
        </is>
      </c>
    </row>
    <row r="18" ht="15" customHeight="1" s="13">
      <c r="A18" s="12" t="inlineStr">
        <is>
          <t>Payload multiplier (x)</t>
        </is>
      </c>
      <c r="B18" s="20">
        <f>IF(B17&gt;0,B16/B17,"inf")</f>
        <v/>
      </c>
      <c r="C18" s="20">
        <f>IF(C17&gt;0,C16/C17,"inf")</f>
        <v/>
      </c>
      <c r="D18" s="20">
        <f>IF(D17&gt;0,D16/D17,"inf")</f>
        <v/>
      </c>
      <c r="E18" s="18" t="n"/>
    </row>
    <row r="19" ht="15" customHeight="1" s="13">
      <c r="A19" s="12" t="inlineStr">
        <is>
          <t>System capex: launch+hardware ($M)</t>
        </is>
      </c>
      <c r="B19" s="20">
        <f>B12*1000*Assumptions!B5*Assumptions!B9/1000000</f>
        <v/>
      </c>
      <c r="C19" s="20">
        <f>C12*1000*Assumptions!C5*Assumptions!C9/1000000</f>
        <v/>
      </c>
      <c r="D19" s="20">
        <f>D12*1000*Assumptions!D5*Assumptions!D9/1000000</f>
        <v/>
      </c>
      <c r="E19" s="18" t="inlineStr">
        <is>
          <t>tether t x $/kg x hw factor</t>
        </is>
      </c>
    </row>
    <row r="20" ht="15" customHeight="1" s="13">
      <c r="A20" s="12" t="inlineStr">
        <is>
          <t>Reboost energy per kg (MJ)</t>
        </is>
      </c>
      <c r="B20" s="20">
        <f>2*B4*Assumptions!B15</f>
        <v/>
      </c>
      <c r="C20" s="20">
        <f>2*C4*Assumptions!C15</f>
        <v/>
      </c>
      <c r="D20" s="20">
        <f>2*D4*Assumptions!D15</f>
        <v/>
      </c>
      <c r="E20" s="18" t="inlineStr">
        <is>
          <t>EQ 5 momentum view: 2 v_orb v_tip</t>
        </is>
      </c>
    </row>
    <row r="21" ht="15" customHeight="1" s="13">
      <c r="A21" s="12" t="inlineStr">
        <is>
          <t>Electricity per boosted kg ($)</t>
        </is>
      </c>
      <c r="B21" s="20">
        <f>B20/Assumptions!B6/3.6*Assumptions!B7</f>
        <v/>
      </c>
      <c r="C21" s="20">
        <f>C20/Assumptions!C6/3.6*Assumptions!C7</f>
        <v/>
      </c>
      <c r="D21" s="20">
        <f>D20/Assumptions!D6/3.6*Assumptions!D7</f>
        <v/>
      </c>
      <c r="E21" s="18" t="inlineStr">
        <is>
          <t>MJ/eff -&gt; kWh x $/kWh</t>
        </is>
      </c>
    </row>
    <row r="22" ht="15" customHeight="1" s="13">
      <c r="A22" s="12" t="inlineStr">
        <is>
          <t>Marginal cost ($/kg)</t>
        </is>
      </c>
      <c r="B22" s="20">
        <f>B21+Assumptions!B8</f>
        <v/>
      </c>
      <c r="C22" s="20">
        <f>C21+Assumptions!C8</f>
        <v/>
      </c>
      <c r="D22" s="20">
        <f>D21+Assumptions!D8</f>
        <v/>
      </c>
      <c r="E22" s="18" t="inlineStr">
        <is>
          <t>+ ops/wear</t>
        </is>
      </c>
    </row>
    <row r="23" ht="15" customHeight="1" s="13">
      <c r="A23" s="12" t="inlineStr">
        <is>
          <t>Annual upmass (t/yr)</t>
        </is>
      </c>
      <c r="B23" s="20">
        <f>Assumptions!B11*365*Assumptions!B12/1000</f>
        <v/>
      </c>
      <c r="C23" s="20">
        <f>Assumptions!C11*365*Assumptions!C12/1000</f>
        <v/>
      </c>
      <c r="D23" s="20">
        <f>Assumptions!D11*365*Assumptions!D12/1000</f>
        <v/>
      </c>
      <c r="E23" s="18" t="inlineStr">
        <is>
          <t>cadence x payload</t>
        </is>
      </c>
    </row>
    <row r="24" ht="15" customHeight="1" s="13">
      <c r="A24" s="12" t="inlineStr">
        <is>
          <t>Annual revenue at maturity ($M)</t>
        </is>
      </c>
      <c r="B24" s="20">
        <f>B23*1000*Assumptions!B10/1000000</f>
        <v/>
      </c>
      <c r="C24" s="20">
        <f>C23*1000*Assumptions!C10/1000000</f>
        <v/>
      </c>
      <c r="D24" s="20">
        <f>D23*1000*Assumptions!D10/1000000</f>
        <v/>
      </c>
      <c r="E24" s="18" t="n"/>
    </row>
    <row r="25" ht="15" customHeight="1" s="13">
      <c r="A25" s="12" t="inlineStr">
        <is>
          <t>Annual marginal cost ($M)</t>
        </is>
      </c>
      <c r="B25" s="20">
        <f>B23*1000*B22/1000000</f>
        <v/>
      </c>
      <c r="C25" s="20">
        <f>C23*1000*C22/1000000</f>
        <v/>
      </c>
      <c r="D25" s="20">
        <f>D23*1000*D22/1000000</f>
        <v/>
      </c>
      <c r="E25" s="18" t="n"/>
    </row>
    <row r="27">
      <c r="A27" s="22" t="inlineStr">
        <is>
          <t>ERF AUDIT — Abramowitz &amp; Stegun 7.1.26 rational approximation, cross-check only</t>
        </is>
      </c>
      <c r="E27" s="23" t="inlineStr">
        <is>
          <t>Mass ratio (row 11) uses Excel's native ERF(); this block validates it independently</t>
        </is>
      </c>
    </row>
    <row r="28">
      <c r="A28" s="12" t="inlineStr">
        <is>
          <t>t = 1/(1+p*x), p=0.3275911</t>
        </is>
      </c>
      <c r="B28" s="12">
        <f>1/(1+0.3275911*B9)</f>
        <v/>
      </c>
      <c r="C28" s="12">
        <f>1/(1+0.3275911*C9)</f>
        <v/>
      </c>
      <c r="D28" s="12">
        <f>1/(1+0.3275911*D9)</f>
        <v/>
      </c>
      <c r="E28" s="12" t="inlineStr">
        <is>
          <t>A&amp;S 7.1.26 substitution</t>
        </is>
      </c>
    </row>
    <row r="29">
      <c r="A29" s="12" t="inlineStr">
        <is>
          <t>erf(x) approx (A&amp;S 7.1.26 polynomial)</t>
        </is>
      </c>
      <c r="B29" s="12">
        <f>1-(0.254829592*B28-0.284496736*B28^2+1.421413741*B28^3-1.453152027*B28^4+1.061405429*B28^5)*EXP(-B9^2)</f>
        <v/>
      </c>
      <c r="C29" s="12">
        <f>1-(0.254829592*C28-0.284496736*C28^2+1.421413741*C28^3-1.453152027*C28^4+1.061405429*C28^5)*EXP(-C9^2)</f>
        <v/>
      </c>
      <c r="D29" s="12">
        <f>1-(0.254829592*D28-0.284496736*D28^2+1.421413741*D28^3-1.453152027*D28^4+1.061405429*D28^5)*EXP(-D9^2)</f>
        <v/>
      </c>
      <c r="E29" s="12" t="inlineStr">
        <is>
          <t>max abs error 1.5e-7 per A&amp;S</t>
        </is>
      </c>
    </row>
    <row r="30">
      <c r="A30" s="12" t="inlineStr">
        <is>
          <t>erf(x) native (Excel ERF)</t>
        </is>
      </c>
      <c r="B30" s="12">
        <f>ERF(B9)</f>
        <v/>
      </c>
      <c r="C30" s="12">
        <f>ERF(C9)</f>
        <v/>
      </c>
      <c r="D30" s="12">
        <f>ERF(D9)</f>
        <v/>
      </c>
      <c r="E30" s="12" t="inlineStr">
        <is>
          <t>cross-check reference</t>
        </is>
      </c>
    </row>
    <row r="31">
      <c r="A31" s="12" t="inlineStr">
        <is>
          <t>Approximation error (abs)</t>
        </is>
      </c>
      <c r="B31" s="12">
        <f>ABS(B29-B30)</f>
        <v/>
      </c>
      <c r="C31" s="12">
        <f>ABS(C29-C30)</f>
        <v/>
      </c>
      <c r="D31" s="12">
        <f>ABS(D29-D30)</f>
        <v/>
      </c>
      <c r="E31" s="12" t="inlineStr">
        <is>
          <t>should be &lt; 2e-7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D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0" customWidth="1" style="12" min="1" max="1"/>
    <col width="16" customWidth="1" style="12" min="2" max="3"/>
    <col width="46" customWidth="1" style="12" min="4" max="4"/>
  </cols>
  <sheetData>
    <row r="1" ht="15" customHeight="1" s="13">
      <c r="A1" s="15" t="inlineStr">
        <is>
          <t>PHASE BUDGETS (Part VI) — $M</t>
        </is>
      </c>
    </row>
    <row r="2" ht="15" customHeight="1" s="13">
      <c r="A2" s="16" t="inlineStr">
        <is>
          <t>Phase</t>
        </is>
      </c>
      <c r="B2" s="16" t="inlineStr">
        <is>
          <t>Low ($M)</t>
        </is>
      </c>
      <c r="C2" s="16" t="inlineStr">
        <is>
          <t>High ($M)</t>
        </is>
      </c>
      <c r="D2" s="16" t="inlineStr">
        <is>
          <t>Exit criteria / notes</t>
        </is>
      </c>
    </row>
    <row r="3" ht="15" customHeight="1" s="13">
      <c r="A3" s="12" t="inlineStr">
        <is>
          <t>Phase 0 — Foundations (Y0-2)</t>
        </is>
      </c>
      <c r="B3" s="17" t="n">
        <v>10</v>
      </c>
      <c r="C3" s="17" t="n">
        <v>30</v>
      </c>
      <c r="D3" s="18" t="inlineStr">
        <is>
          <t>Digital twin validated; joint statistics; capture demo; regulatory groundwork</t>
        </is>
      </c>
    </row>
    <row r="4" ht="15" customHeight="1" s="13">
      <c r="A4" s="12" t="inlineStr">
        <is>
          <t>Phase 1 — Orbital demos (Y2-5)</t>
        </is>
      </c>
      <c r="B4" s="17" t="n">
        <v>60</v>
      </c>
      <c r="C4" s="17" t="n">
        <v>150</v>
      </c>
      <c r="D4" s="18" t="inlineStr">
        <is>
          <t>Repeated catch/throw on orbit; first deorbit revenue; ledger closed by ED</t>
        </is>
      </c>
    </row>
    <row r="5" ht="15" customHeight="1" s="13">
      <c r="A5" s="12" t="inlineStr">
        <is>
          <t>Phase 2 — Lariat (Y5-10)</t>
        </is>
      </c>
      <c r="B5" s="17" t="n">
        <v>1000</v>
      </c>
      <c r="C5" s="17" t="n">
        <v>3000</v>
      </c>
      <c r="D5" s="18" t="inlineStr">
        <is>
          <t>Positive operating cash flow; &gt;100 commercial exchanges; insurance record</t>
        </is>
      </c>
    </row>
    <row r="6" ht="15" customHeight="1" s="13">
      <c r="A6" s="12" t="inlineStr">
        <is>
          <t>Phase 3 — Mainline (Y10-18)</t>
        </is>
      </c>
      <c r="B6" s="17" t="n">
        <v>10000</v>
      </c>
      <c r="C6" s="17" t="n">
        <v>11000</v>
      </c>
      <c r="D6" s="18" t="inlineStr">
        <is>
          <t>&lt;$300/kg marginal; daily cadence; largely internally financed</t>
        </is>
      </c>
    </row>
    <row r="7" ht="15" customHeight="1" s="13">
      <c r="A7" s="15" t="inlineStr">
        <is>
          <t>Cumulative program (low/high)</t>
        </is>
      </c>
      <c r="B7" s="12">
        <f>SUM(B3:B6)</f>
        <v/>
      </c>
      <c r="C7" s="12">
        <f>SUM(C3:C6)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P1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4" customWidth="1" style="12" min="1" max="1"/>
    <col width="11" customWidth="1" style="12" min="2" max="17"/>
  </cols>
  <sheetData>
    <row r="1" ht="15" customHeight="1" s="13">
      <c r="A1" s="15" t="inlineStr">
        <is>
          <t>CASH FLOW &amp; PAYBACK — Rev A reference (scenario-driven)</t>
        </is>
      </c>
    </row>
    <row r="2" ht="15" customHeight="1" s="13">
      <c r="A2" s="12" t="inlineStr">
        <is>
          <t>Scenario selector (type exactly):</t>
        </is>
      </c>
      <c r="B2" s="19" t="inlineStr">
        <is>
          <t>Conservative</t>
        </is>
      </c>
      <c r="C2" s="18" t="inlineStr">
        <is>
          <t>Conservative / Baseline / Optimistic</t>
        </is>
      </c>
    </row>
    <row r="3" ht="15" customHeight="1" s="13">
      <c r="A3" s="12" t="inlineStr">
        <is>
          <t>Scenario column index</t>
        </is>
      </c>
      <c r="B3" s="12">
        <f>MATCH(B2,{"Conservative","Baseline","Optimistic"},0)+1</f>
        <v/>
      </c>
    </row>
    <row r="4" ht="15" customHeight="1" s="13">
      <c r="A4" s="12" t="inlineStr">
        <is>
          <t>Total capex: system + program/fleet ($M)</t>
        </is>
      </c>
      <c r="B4" s="21">
        <f>INDEX('Design Calcs'!19:19,B3)+INDEX(Assumptions!16:16,B3)</f>
        <v/>
      </c>
    </row>
    <row r="5" ht="15" customHeight="1" s="13">
      <c r="A5" s="12" t="inlineStr">
        <is>
          <t>Mature revenue ($M/yr)</t>
        </is>
      </c>
      <c r="B5" s="21">
        <f>INDEX('Design Calcs'!24:24,B3)</f>
        <v/>
      </c>
    </row>
    <row r="6" ht="15" customHeight="1" s="13">
      <c r="A6" s="12" t="inlineStr">
        <is>
          <t>Mature marginal cost ($M/yr)</t>
        </is>
      </c>
      <c r="B6" s="21">
        <f>INDEX('Design Calcs'!25:25,B3)</f>
        <v/>
      </c>
    </row>
    <row r="7" ht="15" customHeight="1" s="13">
      <c r="A7" s="12" t="inlineStr">
        <is>
          <t>Fixed ops ($M/yr)</t>
        </is>
      </c>
      <c r="B7" s="21">
        <f>INDEX(Assumptions!14:14,B3)</f>
        <v/>
      </c>
    </row>
    <row r="8" ht="15" customHeight="1" s="13">
      <c r="A8" s="12" t="inlineStr">
        <is>
          <t>Ramp Y1 of ops</t>
        </is>
      </c>
      <c r="B8" s="21">
        <f>INDEX(Assumptions!13:13,B3)</f>
        <v/>
      </c>
    </row>
    <row r="10" ht="15" customHeight="1" s="13">
      <c r="A10" s="16" t="inlineStr">
        <is>
          <t>Year</t>
        </is>
      </c>
      <c r="B10" s="16" t="inlineStr">
        <is>
          <t>1</t>
        </is>
      </c>
      <c r="C10" s="16" t="inlineStr">
        <is>
          <t>2</t>
        </is>
      </c>
      <c r="D10" s="16" t="inlineStr">
        <is>
          <t>3</t>
        </is>
      </c>
      <c r="E10" s="16" t="inlineStr">
        <is>
          <t>4</t>
        </is>
      </c>
      <c r="F10" s="16" t="inlineStr">
        <is>
          <t>5</t>
        </is>
      </c>
      <c r="G10" s="16" t="inlineStr">
        <is>
          <t>6</t>
        </is>
      </c>
      <c r="H10" s="16" t="inlineStr">
        <is>
          <t>7</t>
        </is>
      </c>
      <c r="I10" s="16" t="inlineStr">
        <is>
          <t>8</t>
        </is>
      </c>
      <c r="J10" s="16" t="inlineStr">
        <is>
          <t>9</t>
        </is>
      </c>
      <c r="K10" s="16" t="inlineStr">
        <is>
          <t>10</t>
        </is>
      </c>
      <c r="L10" s="16" t="inlineStr">
        <is>
          <t>11</t>
        </is>
      </c>
      <c r="M10" s="16" t="inlineStr">
        <is>
          <t>12</t>
        </is>
      </c>
      <c r="N10" s="16" t="inlineStr">
        <is>
          <t>13</t>
        </is>
      </c>
      <c r="O10" s="16" t="inlineStr">
        <is>
          <t>14</t>
        </is>
      </c>
      <c r="P10" s="16" t="inlineStr">
        <is>
          <t>15</t>
        </is>
      </c>
    </row>
    <row r="11" ht="15" customHeight="1" s="13">
      <c r="A11" s="12" t="inlineStr">
        <is>
          <t>Capex spend ($M)</t>
        </is>
      </c>
      <c r="B11" s="12">
        <f>$B$4*0.15</f>
        <v/>
      </c>
      <c r="C11" s="12">
        <f>$B$4*0.3</f>
        <v/>
      </c>
      <c r="D11" s="12">
        <f>$B$4*0.35</f>
        <v/>
      </c>
      <c r="E11" s="12">
        <f>$B$4*0.2</f>
        <v/>
      </c>
      <c r="F11" s="12" t="n">
        <v>0</v>
      </c>
      <c r="G11" s="12" t="n">
        <v>0</v>
      </c>
      <c r="H11" s="12" t="n">
        <v>0</v>
      </c>
      <c r="I11" s="12" t="n">
        <v>0</v>
      </c>
      <c r="J11" s="12" t="n">
        <v>0</v>
      </c>
      <c r="K11" s="12" t="n">
        <v>0</v>
      </c>
      <c r="L11" s="12" t="n">
        <v>0</v>
      </c>
      <c r="M11" s="12" t="n">
        <v>0</v>
      </c>
      <c r="N11" s="12" t="n">
        <v>0</v>
      </c>
      <c r="O11" s="12" t="n">
        <v>0</v>
      </c>
      <c r="P11" s="12" t="n">
        <v>0</v>
      </c>
    </row>
    <row r="12" ht="15" customHeight="1" s="13">
      <c r="A12" s="12" t="inlineStr">
        <is>
          <t>Revenue ($M)</t>
        </is>
      </c>
      <c r="B12" s="12" t="n">
        <v>0</v>
      </c>
      <c r="C12" s="12" t="n">
        <v>0</v>
      </c>
      <c r="D12" s="12" t="n">
        <v>0</v>
      </c>
      <c r="E12" s="12" t="n">
        <v>0</v>
      </c>
      <c r="F12" s="12">
        <f>$B$5*$B$8</f>
        <v/>
      </c>
      <c r="G12" s="12">
        <f>$B$5*MIN(1,$B$8+0.3)</f>
        <v/>
      </c>
      <c r="H12" s="12">
        <f>$B$5</f>
        <v/>
      </c>
      <c r="I12" s="12">
        <f>$B$5</f>
        <v/>
      </c>
      <c r="J12" s="12">
        <f>$B$5</f>
        <v/>
      </c>
      <c r="K12" s="12">
        <f>$B$5</f>
        <v/>
      </c>
      <c r="L12" s="12">
        <f>$B$5</f>
        <v/>
      </c>
      <c r="M12" s="12">
        <f>$B$5</f>
        <v/>
      </c>
      <c r="N12" s="12">
        <f>$B$5</f>
        <v/>
      </c>
      <c r="O12" s="12">
        <f>$B$5</f>
        <v/>
      </c>
      <c r="P12" s="12">
        <f>$B$5</f>
        <v/>
      </c>
    </row>
    <row r="13" ht="15" customHeight="1" s="13">
      <c r="A13" s="12" t="inlineStr">
        <is>
          <t>Opex ($M)</t>
        </is>
      </c>
      <c r="B13" s="12" t="n">
        <v>0</v>
      </c>
      <c r="C13" s="12" t="n">
        <v>0</v>
      </c>
      <c r="D13" s="12" t="n">
        <v>0</v>
      </c>
      <c r="E13" s="12" t="n">
        <v>0</v>
      </c>
      <c r="F13" s="12">
        <f>$B$6*$B$8+$B$7</f>
        <v/>
      </c>
      <c r="G13" s="12">
        <f>$B$6*MIN(1,$B$8+0.3)+$B$7</f>
        <v/>
      </c>
      <c r="H13" s="12">
        <f>$B$6+$B$7</f>
        <v/>
      </c>
      <c r="I13" s="12">
        <f>$B$6+$B$7</f>
        <v/>
      </c>
      <c r="J13" s="12">
        <f>$B$6+$B$7</f>
        <v/>
      </c>
      <c r="K13" s="12">
        <f>$B$6+$B$7</f>
        <v/>
      </c>
      <c r="L13" s="12">
        <f>$B$6+$B$7</f>
        <v/>
      </c>
      <c r="M13" s="12">
        <f>$B$6+$B$7</f>
        <v/>
      </c>
      <c r="N13" s="12">
        <f>$B$6+$B$7</f>
        <v/>
      </c>
      <c r="O13" s="12">
        <f>$B$6+$B$7</f>
        <v/>
      </c>
      <c r="P13" s="12">
        <f>$B$6+$B$7</f>
        <v/>
      </c>
    </row>
    <row r="14" ht="15" customHeight="1" s="13">
      <c r="A14" s="12" t="inlineStr">
        <is>
          <t>Net cash flow ($M)</t>
        </is>
      </c>
      <c r="B14" s="12">
        <f>B12-B11-B13</f>
        <v/>
      </c>
      <c r="C14" s="12">
        <f>C12-C11-C13</f>
        <v/>
      </c>
      <c r="D14" s="12">
        <f>D12-D11-D13</f>
        <v/>
      </c>
      <c r="E14" s="12">
        <f>E12-E11-E13</f>
        <v/>
      </c>
      <c r="F14" s="12">
        <f>F12-F11-F13</f>
        <v/>
      </c>
      <c r="G14" s="12">
        <f>G12-G11-G13</f>
        <v/>
      </c>
      <c r="H14" s="12">
        <f>H12-H11-H13</f>
        <v/>
      </c>
      <c r="I14" s="12">
        <f>I12-I11-I13</f>
        <v/>
      </c>
      <c r="J14" s="12">
        <f>J12-J11-J13</f>
        <v/>
      </c>
      <c r="K14" s="12">
        <f>K12-K11-K13</f>
        <v/>
      </c>
      <c r="L14" s="12">
        <f>L12-L11-L13</f>
        <v/>
      </c>
      <c r="M14" s="12">
        <f>M12-M11-M13</f>
        <v/>
      </c>
      <c r="N14" s="12">
        <f>N12-N11-N13</f>
        <v/>
      </c>
      <c r="O14" s="12">
        <f>O12-O11-O13</f>
        <v/>
      </c>
      <c r="P14" s="12">
        <f>P12-P11-P13</f>
        <v/>
      </c>
    </row>
    <row r="15" ht="15" customHeight="1" s="13">
      <c r="A15" s="12" t="inlineStr">
        <is>
          <t>Cumulative ($M)</t>
        </is>
      </c>
      <c r="B15" s="12">
        <f>B14</f>
        <v/>
      </c>
      <c r="C15" s="12">
        <f>B15+C14</f>
        <v/>
      </c>
      <c r="D15" s="12">
        <f>C15+D14</f>
        <v/>
      </c>
      <c r="E15" s="12">
        <f>D15+E14</f>
        <v/>
      </c>
      <c r="F15" s="12">
        <f>E15+F14</f>
        <v/>
      </c>
      <c r="G15" s="12">
        <f>F15+G14</f>
        <v/>
      </c>
      <c r="H15" s="12">
        <f>G15+H14</f>
        <v/>
      </c>
      <c r="I15" s="12">
        <f>H15+I14</f>
        <v/>
      </c>
      <c r="J15" s="12">
        <f>I15+J14</f>
        <v/>
      </c>
      <c r="K15" s="12">
        <f>J15+K14</f>
        <v/>
      </c>
      <c r="L15" s="12">
        <f>K15+L14</f>
        <v/>
      </c>
      <c r="M15" s="12">
        <f>L15+M14</f>
        <v/>
      </c>
      <c r="N15" s="12">
        <f>M15+N14</f>
        <v/>
      </c>
      <c r="O15" s="12">
        <f>N15+O14</f>
        <v/>
      </c>
      <c r="P15" s="12">
        <f>O15+P14</f>
        <v/>
      </c>
    </row>
    <row r="16" ht="15" customHeight="1" s="13">
      <c r="A16" s="12" t="inlineStr">
        <is>
          <t>Payback year (cumulative &gt; 0)</t>
        </is>
      </c>
      <c r="B16" s="12">
        <f>IFERROR(MATCH(TRUE(),INDEX(B15:P15&gt;0,0),0),"beyond Y15")</f>
        <v/>
      </c>
    </row>
    <row r="18" ht="15" customHeight="1" s="13">
      <c r="A18" s="18" t="inlineStr">
        <is>
          <t>Note: capex spread Y1-Y4 (15/30/35/20%); ops begin Y5 with revenue ramp. Includes program + launcher fleet via Assumptions row 16. Excludes Phases 0-2 (separately financed and revenue-bearing) — see Phase Budgets. Conservative scenario also spins slower (row 15), per Rule 2.3.</t>
        </is>
      </c>
    </row>
    <row r="19">
      <c r="A19" t="inlineStr">
        <is>
          <t>Static snapshot (Conservative scenario) — see finance/skyhook_finance.py for the live scenario-driven model.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2026-06-11T20:46:26Z</dcterms:created>
  <dcterms:modified xsi:type="dcterms:W3CDTF">2026-07-02T21:38:34Z</dcterms:modified>
  <cp:revision>2</cp:revision>
</cp:coreProperties>
</file>